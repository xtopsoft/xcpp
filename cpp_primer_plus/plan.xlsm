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E9BAAAF9-E5DE-A45E-5512-C6A5E48AC118}"/>
  <workbookPr codeName="ThisWorkbook"/>
  <mc:AlternateContent xmlns:mc="http://schemas.openxmlformats.org/markup-compatibility/2006">
    <mc:Choice Requires="x15">
      <x15ac:absPath xmlns:x15ac="http://schemas.microsoft.com/office/spreadsheetml/2010/11/ac" url="F:\xtopsoft\xcpp\cpp_primer_plus\"/>
    </mc:Choice>
  </mc:AlternateContent>
  <bookViews>
    <workbookView xWindow="0" yWindow="0" windowWidth="28800" windowHeight="13035" activeTab="1"/>
  </bookViews>
  <sheets>
    <sheet name="待办事项列表" sheetId="7" r:id="rId1"/>
    <sheet name="笔记" sheetId="8" r:id="rId2"/>
    <sheet name="数组初始化方式" sheetId="9" r:id="rId3"/>
  </sheets>
  <definedNames>
    <definedName name="Assignedto">#REF!</definedName>
    <definedName name="Color1">#REF!</definedName>
    <definedName name="Color2">#REF!</definedName>
    <definedName name="Color3">#REF!</definedName>
    <definedName name="Color4">#REF!</definedName>
    <definedName name="Color5">#REF!</definedName>
    <definedName name="Color6">#REF!</definedName>
    <definedName name="ColorKey">#REF!</definedName>
    <definedName name="DueToday">待办事项列表!$C$3</definedName>
    <definedName name="Grid" localSheetId="0">#REF!</definedName>
    <definedName name="_xlnm.Print_Titles" localSheetId="0">待办事项列表!$1:$5</definedName>
  </definedNames>
  <calcPr calcId="152511"/>
</workbook>
</file>

<file path=xl/calcChain.xml><?xml version="1.0" encoding="utf-8"?>
<calcChain xmlns="http://schemas.openxmlformats.org/spreadsheetml/2006/main">
  <c r="G11" i="7" l="1"/>
  <c r="F11" i="7"/>
  <c r="E11" i="7"/>
  <c r="F10" i="7"/>
  <c r="G10" i="7" s="1"/>
  <c r="G9" i="7"/>
  <c r="F9" i="7"/>
  <c r="G8" i="7"/>
  <c r="F8" i="7"/>
  <c r="G6" i="7"/>
  <c r="F6" i="7"/>
  <c r="D6" i="7"/>
  <c r="C3" i="7" l="1"/>
  <c r="C4" i="7"/>
</calcChain>
</file>

<file path=xl/sharedStrings.xml><?xml version="1.0" encoding="utf-8"?>
<sst xmlns="http://schemas.openxmlformats.org/spreadsheetml/2006/main" count="44" uniqueCount="39">
  <si>
    <t xml:space="preserve">                            </t>
  </si>
  <si>
    <t>今日到期：</t>
  </si>
  <si>
    <t>过期：</t>
  </si>
  <si>
    <t>描述</t>
  </si>
  <si>
    <t>优先级</t>
  </si>
  <si>
    <t>中</t>
  </si>
  <si>
    <t>完成</t>
    <phoneticPr fontId="7" type="noConversion"/>
  </si>
  <si>
    <t xml:space="preserve"> 待办事项列表(C++ Primer Plus)</t>
    <phoneticPr fontId="7" type="noConversion"/>
  </si>
  <si>
    <t>看完《第4章 复合类型》</t>
    <phoneticPr fontId="7" type="noConversion"/>
  </si>
  <si>
    <t>计划时间(H)</t>
    <phoneticPr fontId="7" type="noConversion"/>
  </si>
  <si>
    <t>开始时间</t>
    <phoneticPr fontId="7" type="noConversion"/>
  </si>
  <si>
    <t>到期时间</t>
    <phoneticPr fontId="7" type="noConversion"/>
  </si>
  <si>
    <t>到期日期</t>
    <phoneticPr fontId="7" type="noConversion"/>
  </si>
  <si>
    <t>了解string类的源码和原理</t>
    <phoneticPr fontId="7" type="noConversion"/>
  </si>
  <si>
    <t>序号</t>
    <phoneticPr fontId="7" type="noConversion"/>
  </si>
  <si>
    <t>内容</t>
    <phoneticPr fontId="7" type="noConversion"/>
  </si>
  <si>
    <t>数组长度必须是编译器常量</t>
    <phoneticPr fontId="7" type="noConversion"/>
  </si>
  <si>
    <t>程序员必须确保数组不要越界</t>
    <phoneticPr fontId="7" type="noConversion"/>
  </si>
  <si>
    <t>4.1 arrayone.cpp
更换数组初始化方式</t>
    <phoneticPr fontId="7" type="noConversion"/>
  </si>
  <si>
    <t>数组有多种初始化方式</t>
    <phoneticPr fontId="7" type="noConversion"/>
  </si>
  <si>
    <t>int cards[4] = {3, 6, 8, 9}</t>
    <phoneticPr fontId="7" type="noConversion"/>
  </si>
  <si>
    <t>int cards[4]</t>
    <phoneticPr fontId="7" type="noConversion"/>
  </si>
  <si>
    <t>分配内存，但无初始化。其值是原值</t>
    <phoneticPr fontId="7" type="noConversion"/>
  </si>
  <si>
    <t>int cards[4] = {3, 6}</t>
    <phoneticPr fontId="7" type="noConversion"/>
  </si>
  <si>
    <t>{3, 6, 0, 0}</t>
    <phoneticPr fontId="7" type="noConversion"/>
  </si>
  <si>
    <t>int cards[4] = {0}</t>
    <phoneticPr fontId="7" type="noConversion"/>
  </si>
  <si>
    <t>int cards[4] = {1}</t>
    <phoneticPr fontId="7" type="noConversion"/>
  </si>
  <si>
    <t>{1, 0, 0, 0}</t>
    <phoneticPr fontId="7" type="noConversion"/>
  </si>
  <si>
    <t>int cards[4] = {3, 6, 8, 9, 10}</t>
    <phoneticPr fontId="7" type="noConversion"/>
  </si>
  <si>
    <t>int cards[] = {3, 6, 8, 9}</t>
    <phoneticPr fontId="7" type="noConversion"/>
  </si>
  <si>
    <t>int cards[4] {3, 6, 8, 9}</t>
    <phoneticPr fontId="7" type="noConversion"/>
  </si>
  <si>
    <t>int cards[4] = {}</t>
    <phoneticPr fontId="7" type="noConversion"/>
  </si>
  <si>
    <t>int cards[4] {}</t>
    <phoneticPr fontId="7" type="noConversion"/>
  </si>
  <si>
    <t>char name[3] = "Tom"
有问题吗？</t>
    <phoneticPr fontId="7" type="noConversion"/>
  </si>
  <si>
    <t>centos 6 对应的g++ 4.4.7
centos7 对应的g++ 4.8.3</t>
    <phoneticPr fontId="7" type="noConversion"/>
  </si>
  <si>
    <t>安装 centos 7</t>
    <phoneticPr fontId="7" type="noConversion"/>
  </si>
  <si>
    <t>ch04_ex02_string.cc
输入不同的字符串来测试</t>
    <phoneticPr fontId="7" type="noConversion"/>
  </si>
  <si>
    <t>ch04_ex03_instr1.cc</t>
    <phoneticPr fontId="7" type="noConversion"/>
  </si>
  <si>
    <t>输入过长的字符，会冲掉后面的内存</t>
    <phoneticPr fontId="7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</si>
</sst>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76" formatCode="mm\!\.dd\!\.yyyy"/>
    <numFmt numFmtId="177" formatCode="[$-F800]dddd\!\,\!\ mmmm\!\ dd\!\,\!\ yyyy"/>
    <numFmt numFmtId="178" formatCode="0.00_ "/>
    <numFmt numFmtId="180" formatCode="yyyy/m/d\ h:mm;@"/>
    <numFmt numFmtId="181" formatCode="[$-F800]dddd\,\ mmmm\ dd\,\ yyyy"/>
  </numFmts>
  <fonts count="20" x14ac:knownFonts="1">
    <font>
      <sz val="11"/>
      <color theme="1" tint="0.14996795556505021"/>
      <name val="Segoe Print"/>
      <family val="2"/>
      <scheme val="minor"/>
    </font>
    <font>
      <sz val="11"/>
      <color theme="1"/>
      <name val="Segoe Print"/>
      <family val="2"/>
      <scheme val="minor"/>
    </font>
    <font>
      <sz val="20"/>
      <color theme="3" tint="0.24994659260841701"/>
      <name val="Courier New"/>
      <family val="2"/>
      <scheme val="major"/>
    </font>
    <font>
      <b/>
      <sz val="14"/>
      <color theme="3" tint="0.24994659260841701"/>
      <name val="Courier New"/>
      <family val="3"/>
      <scheme val="major"/>
    </font>
    <font>
      <sz val="14"/>
      <color theme="3" tint="0.24994659260841701"/>
      <name val="Courier New"/>
      <family val="3"/>
      <scheme val="major"/>
    </font>
    <font>
      <b/>
      <sz val="14"/>
      <color theme="5"/>
      <name val="Courier New"/>
      <family val="3"/>
      <scheme val="major"/>
    </font>
    <font>
      <b/>
      <sz val="14"/>
      <color theme="6"/>
      <name val="Courier New"/>
      <family val="3"/>
      <scheme val="major"/>
    </font>
    <font>
      <sz val="9"/>
      <name val="宋体"/>
      <family val="3"/>
      <charset val="134"/>
      <scheme val="minor"/>
    </font>
    <font>
      <sz val="9"/>
      <color theme="3"/>
      <name val="Microsoft YaHei UI"/>
      <family val="2"/>
      <charset val="134"/>
    </font>
    <font>
      <sz val="20"/>
      <color theme="3" tint="0.24994659260841701"/>
      <name val="Microsoft YaHei UI"/>
      <family val="2"/>
      <charset val="134"/>
    </font>
    <font>
      <sz val="11"/>
      <color theme="1" tint="0.14996795556505021"/>
      <name val="Microsoft YaHei UI"/>
      <family val="2"/>
      <charset val="134"/>
    </font>
    <font>
      <b/>
      <sz val="14"/>
      <color theme="3" tint="0.24994659260841701"/>
      <name val="Microsoft YaHei UI"/>
      <family val="2"/>
      <charset val="134"/>
    </font>
    <font>
      <sz val="12"/>
      <color theme="3" tint="0.24994659260841701"/>
      <name val="Microsoft YaHei UI"/>
      <family val="2"/>
      <charset val="134"/>
    </font>
    <font>
      <b/>
      <sz val="14"/>
      <color theme="6"/>
      <name val="Microsoft YaHei UI"/>
      <family val="2"/>
      <charset val="134"/>
    </font>
    <font>
      <b/>
      <sz val="12"/>
      <color theme="5"/>
      <name val="Microsoft YaHei UI"/>
      <family val="2"/>
      <charset val="134"/>
    </font>
    <font>
      <sz val="11"/>
      <color theme="1"/>
      <name val="Microsoft YaHei UI"/>
      <family val="2"/>
      <charset val="134"/>
    </font>
    <font>
      <sz val="12"/>
      <color theme="1"/>
      <name val="Microsoft YaHei UI"/>
      <family val="2"/>
      <charset val="134"/>
    </font>
    <font>
      <sz val="10"/>
      <color theme="1" tint="0.14996795556505021"/>
      <name val="微软雅黑"/>
      <family val="2"/>
      <charset val="134"/>
    </font>
    <font>
      <b/>
      <sz val="10"/>
      <color theme="1" tint="0.14996795556505021"/>
      <name val="微软雅黑"/>
      <family val="2"/>
      <charset val="134"/>
    </font>
    <font>
      <sz val="11"/>
      <color theme="1" tint="0.14996795556505021"/>
      <name val="Consolas"/>
      <family val="3"/>
    </font>
  </fonts>
  <fills count="4">
    <fill>
      <patternFill patternType="none"/>
    </fill>
    <fill>
      <patternFill patternType="gray125"/>
    </fill>
    <fill>
      <patternFill patternType="solid">
        <fgColor theme="8" tint="0.79998168889431442"/>
        <bgColor indexed="65"/>
      </patternFill>
    </fill>
    <fill>
      <patternFill patternType="solid">
        <fgColor theme="9" tint="0.59999389629810485"/>
        <bgColor indexed="64"/>
      </patternFill>
    </fill>
  </fills>
  <borders count="5">
    <border>
      <left/>
      <right/>
      <top/>
      <bottom/>
      <diagonal/>
    </border>
    <border>
      <left/>
      <right style="thin">
        <color theme="6" tint="0.79998168889431442"/>
      </right>
      <top/>
      <bottom/>
      <diagonal/>
    </border>
    <border>
      <left/>
      <right/>
      <top/>
      <bottom style="thin">
        <color theme="6" tint="0.79998168889431442"/>
      </bottom>
      <diagonal/>
    </border>
    <border>
      <left/>
      <right style="thin">
        <color theme="6" tint="0.79998168889431442"/>
      </right>
      <top/>
      <bottom style="thin">
        <color theme="6" tint="0.79998168889431442"/>
      </bottom>
      <diagonal/>
    </border>
    <border>
      <left/>
      <right style="thin">
        <color theme="6" tint="0.79998168889431442"/>
      </right>
      <top style="thin">
        <color theme="6" tint="0.79995117038483843"/>
      </top>
      <bottom style="thin">
        <color theme="6" tint="0.79998168889431442"/>
      </bottom>
      <diagonal/>
    </border>
  </borders>
  <cellStyleXfs count="7">
    <xf numFmtId="0" fontId="0" fillId="0" borderId="2">
      <alignment vertical="center"/>
    </xf>
    <xf numFmtId="0" fontId="1" fillId="2" borderId="0" applyNumberFormat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</cellStyleXfs>
  <cellXfs count="40">
    <xf numFmtId="0" fontId="0" fillId="0" borderId="2" xfId="0">
      <alignment vertical="center"/>
    </xf>
    <xf numFmtId="0" fontId="8" fillId="0" borderId="1" xfId="2" applyFont="1" applyBorder="1" applyAlignment="1">
      <alignment textRotation="90" wrapText="1"/>
    </xf>
    <xf numFmtId="176" fontId="9" fillId="0" borderId="0" xfId="2" applyNumberFormat="1" applyFont="1" applyFill="1" applyBorder="1" applyAlignment="1">
      <alignment horizontal="left"/>
    </xf>
    <xf numFmtId="0" fontId="10" fillId="0" borderId="0" xfId="0" applyFont="1" applyBorder="1">
      <alignment vertical="center"/>
    </xf>
    <xf numFmtId="0" fontId="9" fillId="0" borderId="1" xfId="2" applyFont="1" applyBorder="1" applyAlignment="1">
      <alignment vertical="center"/>
    </xf>
    <xf numFmtId="0" fontId="12" fillId="0" borderId="0" xfId="4" applyFont="1" applyBorder="1" applyAlignment="1">
      <alignment horizontal="right" vertical="center"/>
    </xf>
    <xf numFmtId="0" fontId="13" fillId="0" borderId="0" xfId="6" applyFont="1" applyAlignment="1">
      <alignment horizontal="left" vertical="center"/>
    </xf>
    <xf numFmtId="0" fontId="10" fillId="0" borderId="1" xfId="0" applyFont="1" applyBorder="1">
      <alignment vertical="center"/>
    </xf>
    <xf numFmtId="0" fontId="12" fillId="0" borderId="0" xfId="4" applyFont="1" applyBorder="1" applyAlignment="1">
      <alignment horizontal="right" vertical="top"/>
    </xf>
    <xf numFmtId="0" fontId="14" fillId="0" borderId="0" xfId="5" applyFont="1" applyAlignment="1">
      <alignment horizontal="left" vertical="top"/>
    </xf>
    <xf numFmtId="0" fontId="10" fillId="0" borderId="3" xfId="0" applyFont="1" applyBorder="1">
      <alignment vertical="center"/>
    </xf>
    <xf numFmtId="0" fontId="10" fillId="0" borderId="2" xfId="0" applyFont="1">
      <alignment vertical="center"/>
    </xf>
    <xf numFmtId="177" fontId="11" fillId="0" borderId="0" xfId="3" applyNumberFormat="1" applyFont="1" applyFill="1" applyBorder="1" applyAlignment="1">
      <alignment horizontal="left" vertical="center" indent="1"/>
    </xf>
    <xf numFmtId="0" fontId="10" fillId="0" borderId="0" xfId="0" applyFont="1" applyFill="1" applyBorder="1">
      <alignment vertical="center"/>
    </xf>
    <xf numFmtId="177" fontId="11" fillId="0" borderId="0" xfId="3" applyNumberFormat="1" applyFont="1" applyFill="1" applyBorder="1" applyAlignment="1"/>
    <xf numFmtId="0" fontId="15" fillId="0" borderId="0" xfId="1" applyFont="1" applyFill="1"/>
    <xf numFmtId="0" fontId="10" fillId="0" borderId="2" xfId="0" applyFont="1" applyFill="1">
      <alignment vertical="center"/>
    </xf>
    <xf numFmtId="0" fontId="9" fillId="0" borderId="0" xfId="2" applyFont="1" applyFill="1" applyBorder="1" applyAlignment="1"/>
    <xf numFmtId="0" fontId="15" fillId="0" borderId="0" xfId="1" applyFont="1" applyFill="1" applyBorder="1"/>
    <xf numFmtId="0" fontId="16" fillId="0" borderId="1" xfId="1" applyFont="1" applyFill="1" applyBorder="1"/>
    <xf numFmtId="0" fontId="16" fillId="0" borderId="2" xfId="0" applyFont="1" applyAlignment="1">
      <alignment horizontal="center"/>
    </xf>
    <xf numFmtId="0" fontId="16" fillId="0" borderId="2" xfId="0" applyFont="1" applyAlignment="1">
      <alignment horizontal="left" vertical="center" indent="1"/>
    </xf>
    <xf numFmtId="0" fontId="16" fillId="0" borderId="2" xfId="0" applyFont="1">
      <alignment vertical="center"/>
    </xf>
    <xf numFmtId="0" fontId="16" fillId="0" borderId="0" xfId="1" applyFont="1" applyFill="1"/>
    <xf numFmtId="0" fontId="10" fillId="0" borderId="4" xfId="0" applyFont="1" applyBorder="1">
      <alignment vertical="center"/>
    </xf>
    <xf numFmtId="0" fontId="10" fillId="0" borderId="2" xfId="0" applyFont="1" applyAlignment="1">
      <alignment horizontal="center" vertical="center"/>
    </xf>
    <xf numFmtId="0" fontId="10" fillId="0" borderId="2" xfId="0" applyFont="1" applyAlignment="1">
      <alignment horizontal="left" vertical="center" indent="1"/>
    </xf>
    <xf numFmtId="177" fontId="10" fillId="0" borderId="2" xfId="0" applyNumberFormat="1" applyFont="1" applyAlignment="1">
      <alignment horizontal="center" vertical="center"/>
    </xf>
    <xf numFmtId="0" fontId="10" fillId="0" borderId="3" xfId="0" applyFont="1" applyFill="1" applyBorder="1">
      <alignment vertical="center"/>
    </xf>
    <xf numFmtId="177" fontId="11" fillId="0" borderId="0" xfId="3" applyNumberFormat="1" applyFont="1" applyFill="1" applyBorder="1" applyAlignment="1">
      <alignment horizontal="left" vertical="center" indent="1"/>
    </xf>
    <xf numFmtId="178" fontId="10" fillId="0" borderId="2" xfId="0" applyNumberFormat="1" applyFont="1" applyAlignment="1">
      <alignment horizontal="left" vertical="center" indent="1"/>
    </xf>
    <xf numFmtId="180" fontId="10" fillId="0" borderId="2" xfId="0" applyNumberFormat="1" applyFont="1" applyAlignment="1">
      <alignment horizontal="center" vertical="center"/>
    </xf>
    <xf numFmtId="181" fontId="10" fillId="0" borderId="2" xfId="0" applyNumberFormat="1" applyFont="1" applyAlignment="1">
      <alignment horizontal="center" vertical="center"/>
    </xf>
    <xf numFmtId="0" fontId="17" fillId="0" borderId="2" xfId="0" applyFont="1">
      <alignment vertical="center"/>
    </xf>
    <xf numFmtId="0" fontId="18" fillId="0" borderId="2" xfId="0" applyFont="1">
      <alignment vertical="center"/>
    </xf>
    <xf numFmtId="0" fontId="10" fillId="0" borderId="2" xfId="0" applyFont="1" applyAlignment="1">
      <alignment horizontal="left" vertical="center" wrapText="1" indent="1"/>
    </xf>
    <xf numFmtId="0" fontId="19" fillId="0" borderId="2" xfId="0" applyFont="1">
      <alignment vertical="center"/>
    </xf>
    <xf numFmtId="0" fontId="19" fillId="3" borderId="2" xfId="0" applyFont="1" applyFill="1">
      <alignment vertical="center"/>
    </xf>
    <xf numFmtId="0" fontId="17" fillId="3" borderId="2" xfId="0" applyFont="1" applyFill="1">
      <alignment vertical="center"/>
    </xf>
    <xf numFmtId="0" fontId="17" fillId="0" borderId="2" xfId="0" applyFont="1" applyAlignment="1">
      <alignment vertical="center" wrapText="1"/>
    </xf>
  </cellXfs>
  <cellStyles count="7">
    <cellStyle name="20% - 着色 5" xfId="1" builtinId="46"/>
    <cellStyle name="标题" xfId="2" builtinId="15" customBuiltin="1"/>
    <cellStyle name="标题 1" xfId="3" builtinId="16" customBuiltin="1"/>
    <cellStyle name="标题 2" xfId="4" builtinId="17" customBuiltin="1"/>
    <cellStyle name="标题 3" xfId="5" builtinId="18" customBuiltin="1"/>
    <cellStyle name="标题 4" xfId="6" builtinId="19" customBuiltin="1"/>
    <cellStyle name="常规" xfId="0" builtinId="0" customBuiltin="1"/>
  </cellStyles>
  <dxfs count="53">
    <dxf>
      <font>
        <color rgb="FFFF0000"/>
      </font>
    </dxf>
    <dxf>
      <font>
        <color theme="6"/>
      </font>
      <fill>
        <patternFill patternType="solid">
          <fgColor auto="1"/>
          <bgColor theme="7" tint="0.79998168889431442"/>
        </patternFill>
      </fill>
    </dxf>
    <dxf>
      <font>
        <strike/>
        <u val="none"/>
        <color theme="3" tint="0.499984740745262"/>
      </font>
    </dxf>
    <dxf>
      <font>
        <color rgb="FF00B050"/>
      </font>
    </dxf>
    <dxf>
      <font>
        <color theme="3"/>
      </font>
    </dxf>
    <dxf>
      <font>
        <color rgb="FFFF0000"/>
      </font>
    </dxf>
    <dxf>
      <font>
        <color theme="6"/>
      </font>
      <fill>
        <patternFill patternType="solid">
          <fgColor auto="1"/>
          <bgColor theme="7" tint="0.79998168889431442"/>
        </patternFill>
      </fill>
    </dxf>
    <dxf>
      <font>
        <strike/>
        <u val="none"/>
        <color theme="3" tint="0.499984740745262"/>
      </font>
    </dxf>
    <dxf>
      <font>
        <color rgb="FF00B050"/>
      </font>
    </dxf>
    <dxf>
      <font>
        <color theme="3"/>
      </font>
    </dxf>
    <dxf>
      <font>
        <color rgb="FFFF0000"/>
      </font>
    </dxf>
    <dxf>
      <font>
        <color theme="6"/>
      </font>
      <fill>
        <patternFill patternType="solid">
          <fgColor auto="1"/>
          <bgColor theme="7" tint="0.79998168889431442"/>
        </patternFill>
      </fill>
    </dxf>
    <dxf>
      <font>
        <strike/>
        <u val="none"/>
        <color theme="3" tint="0.499984740745262"/>
      </font>
    </dxf>
    <dxf>
      <font>
        <color rgb="FF00B050"/>
      </font>
    </dxf>
    <dxf>
      <font>
        <color theme="3"/>
      </font>
    </dxf>
    <dxf>
      <font>
        <color rgb="FFFF0000"/>
      </font>
    </dxf>
    <dxf>
      <font>
        <color theme="6"/>
      </font>
      <fill>
        <patternFill patternType="solid">
          <fgColor auto="1"/>
          <bgColor theme="7" tint="0.79998168889431442"/>
        </patternFill>
      </fill>
    </dxf>
    <dxf>
      <font>
        <strike/>
        <u val="none"/>
        <color theme="3" tint="0.499984740745262"/>
      </font>
    </dxf>
    <dxf>
      <font>
        <color rgb="FF00B050"/>
      </font>
    </dxf>
    <dxf>
      <font>
        <color theme="3"/>
      </font>
    </dxf>
    <dxf>
      <font>
        <color rgb="FFFF0000"/>
      </font>
    </dxf>
    <dxf>
      <font>
        <color theme="6"/>
      </font>
      <fill>
        <patternFill patternType="solid">
          <fgColor auto="1"/>
          <bgColor theme="7" tint="0.79998168889431442"/>
        </patternFill>
      </fill>
    </dxf>
    <dxf>
      <font>
        <strike/>
        <u val="none"/>
        <color theme="3" tint="0.499984740745262"/>
      </font>
    </dxf>
    <dxf>
      <font>
        <color rgb="FFFF0000"/>
      </font>
    </dxf>
    <dxf>
      <font>
        <color theme="6"/>
      </font>
      <fill>
        <patternFill patternType="solid">
          <fgColor auto="1"/>
          <bgColor theme="7" tint="0.79998168889431442"/>
        </patternFill>
      </fill>
    </dxf>
    <dxf>
      <font>
        <strike/>
        <u val="none"/>
        <color theme="3" tint="0.499984740745262"/>
      </font>
    </dxf>
    <dxf>
      <font>
        <color rgb="FF00B050"/>
      </font>
    </dxf>
    <dxf>
      <font>
        <color theme="3"/>
      </font>
    </dxf>
    <dxf>
      <font>
        <color rgb="FFFF0000"/>
      </font>
    </dxf>
    <dxf>
      <font>
        <color theme="6"/>
      </font>
      <fill>
        <patternFill patternType="solid">
          <fgColor auto="1"/>
          <bgColor theme="7" tint="0.79998168889431442"/>
        </patternFill>
      </fill>
    </dxf>
    <dxf>
      <font>
        <strike/>
        <u val="none"/>
        <color theme="3" tint="0.499984740745262"/>
      </font>
    </dxf>
    <dxf>
      <font>
        <color rgb="FF00B050"/>
      </font>
    </dxf>
    <dxf>
      <font>
        <color theme="3"/>
      </font>
    </dxf>
    <dxf>
      <font>
        <color rgb="FFFF0000"/>
      </font>
    </dxf>
    <dxf>
      <font>
        <color theme="6"/>
      </font>
      <fill>
        <patternFill patternType="solid">
          <fgColor auto="1"/>
          <bgColor theme="7" tint="0.79998168889431442"/>
        </patternFill>
      </fill>
    </dxf>
    <dxf>
      <font>
        <strike/>
        <u val="none"/>
        <color theme="3" tint="0.499984740745262"/>
      </font>
    </dxf>
    <dxf>
      <font>
        <color rgb="FF00B050"/>
      </font>
    </dxf>
    <dxf>
      <font>
        <color theme="3"/>
      </font>
    </dxf>
    <dxf>
      <font>
        <color rgb="FFFF0000"/>
      </font>
    </dxf>
    <dxf>
      <font>
        <color theme="6"/>
      </font>
      <fill>
        <patternFill patternType="solid">
          <fgColor auto="1"/>
          <bgColor theme="7" tint="0.79998168889431442"/>
        </patternFill>
      </fill>
    </dxf>
    <dxf>
      <font>
        <strike/>
        <u val="none"/>
        <color theme="3" tint="0.499984740745262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14996795556505021"/>
        <name val="Microsoft YaHei UI"/>
        <scheme val="none"/>
      </font>
      <numFmt numFmtId="180" formatCode="yyyy/m/d\ h:mm;@"/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14996795556505021"/>
        <name val="Microsoft YaHei UI"/>
        <scheme val="none"/>
      </font>
      <numFmt numFmtId="178" formatCode="0.00_ "/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14996795556505021"/>
        <name val="Microsoft YaHei UI"/>
        <scheme val="none"/>
      </font>
      <numFmt numFmtId="178" formatCode="0.00_ "/>
      <alignment horizontal="left" vertical="center" textRotation="0" wrapText="0" indent="1" justifyLastLine="0" shrinkToFit="0" readingOrder="0"/>
    </dxf>
    <dxf>
      <font>
        <strike val="0"/>
        <outline val="0"/>
        <shadow val="0"/>
        <u val="none"/>
        <vertAlign val="baseline"/>
        <name val="Microsoft YaHei UI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name val="Microsoft YaHei UI"/>
        <scheme val="none"/>
      </font>
      <numFmt numFmtId="177" formatCode="[$-F800]dddd\!\,\!\ mmmm\!\ dd\!\,\!\ yyyy"/>
      <alignment horizontal="center" textRotation="0" indent="0" justifyLastLine="0" shrinkToFit="0" readingOrder="0"/>
    </dxf>
    <dxf>
      <font>
        <strike val="0"/>
        <outline val="0"/>
        <shadow val="0"/>
        <u val="none"/>
        <vertAlign val="baseline"/>
        <name val="Microsoft YaHei UI"/>
        <scheme val="none"/>
      </font>
      <alignment horizontal="left" vertical="center" textRotation="0" wrapText="0" indent="1" justifyLastLine="0" shrinkToFit="0" readingOrder="0"/>
    </dxf>
    <dxf>
      <font>
        <strike val="0"/>
        <outline val="0"/>
        <shadow val="0"/>
        <u val="none"/>
        <vertAlign val="baseline"/>
        <name val="Microsoft YaHei UI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name val="Microsoft YaHei UI"/>
        <scheme val="none"/>
      </font>
    </dxf>
    <dxf>
      <border>
        <bottom style="medium">
          <color theme="4" tint="-0.499984740745262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Microsoft YaHei UI"/>
        <scheme val="none"/>
      </font>
      <alignment horizontal="center" vertical="bottom" textRotation="0" wrapText="0" indent="0" justifyLastLine="0" shrinkToFit="0" readingOrder="0"/>
    </dxf>
    <dxf>
      <border>
        <bottom style="thin">
          <color auto="1"/>
        </bottom>
        <vertical/>
      </border>
    </dxf>
    <dxf>
      <font>
        <color theme="3" tint="0.499984740745262"/>
      </font>
      <fill>
        <patternFill patternType="none">
          <bgColor auto="1"/>
        </patternFill>
      </fill>
      <border diagonalUp="0" diagonalDown="0">
        <left/>
        <right/>
        <top/>
        <bottom style="thin">
          <color theme="6" tint="0.79998168889431442"/>
        </bottom>
        <vertical/>
        <horizontal style="thin">
          <color theme="6" tint="0.79998168889431442"/>
        </horizontal>
      </border>
    </dxf>
  </dxfs>
  <tableStyles count="1" defaultTableStyle="To Do List" defaultPivotStyle="PivotStyleLight18">
    <tableStyle name="To Do List" pivot="0" count="2">
      <tableStyleElement type="wholeTable" dxfId="52"/>
      <tableStyleElement type="headerRow" dxfId="51"/>
    </tableStyle>
  </tableStyles>
  <colors>
    <mruColors>
      <color rgb="FF00E266"/>
      <color rgb="FFF63636"/>
      <color rgb="FFFFFF4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</xdr:row>
      <xdr:rowOff>28576</xdr:rowOff>
    </xdr:from>
    <xdr:to>
      <xdr:col>2</xdr:col>
      <xdr:colOff>180975</xdr:colOff>
      <xdr:row>3</xdr:row>
      <xdr:rowOff>1</xdr:rowOff>
    </xdr:to>
    <xdr:sp macro="" textlink="DueToday">
      <xdr:nvSpPr>
        <xdr:cNvPr id="6" name="今日到期" descr="&quot;&quot;" title="今日到期的任务"/>
        <xdr:cNvSpPr/>
      </xdr:nvSpPr>
      <xdr:spPr>
        <a:xfrm>
          <a:off x="2085975" y="819151"/>
          <a:ext cx="180975" cy="20955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2F027B4C-61F8-43A9-9EC6-F1C4DE41E770}" type="TxLink">
            <a:rPr lang="en-US" sz="1200" b="1">
              <a:solidFill>
                <a:schemeClr val="accent3"/>
              </a:solidFill>
              <a:latin typeface="+mj-lt"/>
            </a:rPr>
            <a:pPr algn="ctr"/>
            <a:t>4</a:t>
          </a:fld>
          <a:endParaRPr lang="en-US" sz="1200" b="1">
            <a:solidFill>
              <a:schemeClr val="accent3"/>
            </a:solidFill>
            <a:latin typeface="+mj-lt"/>
          </a:endParaRPr>
        </a:p>
      </xdr:txBody>
    </xdr:sp>
    <xdr:clientData/>
  </xdr:twoCellAnchor>
</xdr:wsDr>
</file>

<file path=xl/tables/table1.xml><?xml version="1.0" encoding="utf-8"?>
<table xmlns="http://schemas.openxmlformats.org/spreadsheetml/2006/main" id="2" name="tblToDoList" displayName="tblToDoList" ref="B5:H11" totalsRowShown="0" headerRowDxfId="50" dataDxfId="48" headerRowBorderDxfId="49">
  <autoFilter ref="B5:H11"/>
  <sortState ref="B6:G30">
    <sortCondition ref="B5:B30"/>
  </sortState>
  <tableColumns count="7">
    <tableColumn id="1" name="完成" dataDxfId="47"/>
    <tableColumn id="2" name="描述" dataDxfId="46"/>
    <tableColumn id="5" name="计划时间(H)" dataDxfId="43">
      <calculatedColumnFormula>(125-70)*5/60</calculatedColumnFormula>
    </tableColumn>
    <tableColumn id="6" name="开始时间" dataDxfId="42"/>
    <tableColumn id="7" name="到期时间" dataDxfId="41">
      <calculatedColumnFormula>tblToDoList[[#This Row],[开始时间]]+(tblToDoList[[#This Row],[计划时间(H)]]+2)/24</calculatedColumnFormula>
    </tableColumn>
    <tableColumn id="3" name="到期日期" dataDxfId="45"/>
    <tableColumn id="4" name="优先级" dataDxfId="44"/>
  </tableColumns>
  <tableStyleInfo name="To Do List" showFirstColumn="1" showLastColumn="0" showRowStripes="1" showColumnStripes="0"/>
  <extLst>
    <ext xmlns:x14="http://schemas.microsoft.com/office/spreadsheetml/2009/9/main" uri="{504A1905-F514-4f6f-8877-14C23A59335A}">
      <x14:table altText="每周日程安排" altTextSummary="以半小时为间隔为每个工作日输入您的日程安排和任务。"/>
    </ext>
  </extLst>
</table>
</file>

<file path=xl/theme/theme1.xml><?xml version="1.0" encoding="utf-8"?>
<a:theme xmlns:a="http://schemas.openxmlformats.org/drawingml/2006/main" name="Office Theme">
  <a:themeElements>
    <a:clrScheme name="To Do List">
      <a:dk1>
        <a:sysClr val="windowText" lastClr="000000"/>
      </a:dk1>
      <a:lt1>
        <a:sysClr val="window" lastClr="FFFFFF"/>
      </a:lt1>
      <a:dk2>
        <a:srgbClr val="000000"/>
      </a:dk2>
      <a:lt2>
        <a:srgbClr val="FFFFFF"/>
      </a:lt2>
      <a:accent1>
        <a:srgbClr val="7AC843"/>
      </a:accent1>
      <a:accent2>
        <a:srgbClr val="FF1D26"/>
      </a:accent2>
      <a:accent3>
        <a:srgbClr val="3F91F4"/>
      </a:accent3>
      <a:accent4>
        <a:srgbClr val="FF921E"/>
      </a:accent4>
      <a:accent5>
        <a:srgbClr val="9C5DBD"/>
      </a:accent5>
      <a:accent6>
        <a:srgbClr val="FFE339"/>
      </a:accent6>
      <a:hlink>
        <a:srgbClr val="3F91F4"/>
      </a:hlink>
      <a:folHlink>
        <a:srgbClr val="9B5DBD"/>
      </a:folHlink>
    </a:clrScheme>
    <a:fontScheme name="To Do List">
      <a:majorFont>
        <a:latin typeface="Courier New"/>
        <a:ea typeface=""/>
        <a:cs typeface=""/>
      </a:majorFont>
      <a:minorFont>
        <a:latin typeface="Segoe Print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theme="7" tint="0.59999389629810485"/>
    <pageSetUpPr autoPageBreaks="0" fitToPage="1"/>
  </sheetPr>
  <dimension ref="A1:T15"/>
  <sheetViews>
    <sheetView showGridLines="0" zoomScaleNormal="100" workbookViewId="0">
      <selection activeCell="C10" sqref="C10"/>
    </sheetView>
  </sheetViews>
  <sheetFormatPr defaultColWidth="0" defaultRowHeight="29.25" customHeight="1" x14ac:dyDescent="0.6"/>
  <cols>
    <col min="1" max="1" width="8.7265625" style="28" customWidth="1"/>
    <col min="2" max="2" width="11.453125" style="16" customWidth="1"/>
    <col min="3" max="3" width="27.08984375" style="11" customWidth="1"/>
    <col min="4" max="4" width="12.08984375" style="11" bestFit="1" customWidth="1"/>
    <col min="5" max="5" width="14" style="11" bestFit="1" customWidth="1"/>
    <col min="6" max="6" width="14" style="11" customWidth="1"/>
    <col min="7" max="7" width="19.54296875" style="16" customWidth="1"/>
    <col min="8" max="8" width="11.7265625" style="16" customWidth="1"/>
    <col min="9" max="9" width="7.6328125" style="16" customWidth="1"/>
    <col min="10" max="10" width="20.08984375" style="11" hidden="1" customWidth="1"/>
    <col min="11" max="11" width="17.1796875" style="16" hidden="1" customWidth="1"/>
    <col min="12" max="16" width="0" style="16" hidden="1" customWidth="1"/>
    <col min="17" max="19" width="0" style="11" hidden="1" customWidth="1"/>
    <col min="20" max="20" width="0" style="11" hidden="1"/>
    <col min="21" max="16384" width="8.7265625" style="11" hidden="1"/>
  </cols>
  <sheetData>
    <row r="1" spans="1:19" ht="33" customHeight="1" x14ac:dyDescent="0.45">
      <c r="A1" s="1" t="s">
        <v>0</v>
      </c>
      <c r="B1" s="2" t="s">
        <v>7</v>
      </c>
      <c r="C1" s="3"/>
      <c r="D1" s="3"/>
      <c r="E1" s="3"/>
      <c r="F1" s="3"/>
      <c r="G1" s="2"/>
      <c r="H1" s="13"/>
      <c r="I1" s="14"/>
      <c r="J1" s="3"/>
      <c r="K1" s="15"/>
      <c r="L1" s="15"/>
      <c r="M1" s="15"/>
      <c r="N1" s="15"/>
      <c r="O1" s="15"/>
      <c r="P1" s="15"/>
      <c r="Q1" s="16"/>
      <c r="R1" s="16"/>
      <c r="S1" s="16"/>
    </row>
    <row r="2" spans="1:19" ht="21.75" customHeight="1" x14ac:dyDescent="0.45">
      <c r="A2" s="1"/>
      <c r="B2" s="29">
        <v>42202</v>
      </c>
      <c r="C2" s="29"/>
      <c r="D2" s="12"/>
      <c r="E2" s="12"/>
      <c r="F2" s="12"/>
      <c r="G2" s="2"/>
      <c r="H2" s="17"/>
      <c r="I2" s="18"/>
      <c r="J2" s="3"/>
      <c r="K2" s="15"/>
      <c r="L2" s="15"/>
      <c r="M2" s="15"/>
      <c r="N2" s="15"/>
      <c r="O2" s="15"/>
      <c r="P2" s="15"/>
      <c r="Q2" s="16"/>
      <c r="R2" s="16"/>
      <c r="S2" s="16"/>
    </row>
    <row r="3" spans="1:19" s="3" customFormat="1" ht="18.75" customHeight="1" x14ac:dyDescent="0.25">
      <c r="A3" s="4"/>
      <c r="B3" s="5" t="s">
        <v>1</v>
      </c>
      <c r="C3" s="6">
        <f ca="1">COUNTIFS(tblToDoList[到期日期],TODAY(),tblToDoList[完成],"&lt;&gt;1")</f>
        <v>4</v>
      </c>
      <c r="D3" s="6"/>
      <c r="E3" s="6"/>
      <c r="F3" s="6"/>
      <c r="J3" s="18"/>
      <c r="L3" s="18"/>
      <c r="M3" s="18"/>
      <c r="N3" s="18"/>
      <c r="O3" s="18"/>
      <c r="P3" s="18"/>
      <c r="Q3" s="13"/>
      <c r="R3" s="13"/>
      <c r="S3" s="13"/>
    </row>
    <row r="4" spans="1:19" s="3" customFormat="1" ht="25.5" customHeight="1" x14ac:dyDescent="0.6">
      <c r="A4" s="7"/>
      <c r="B4" s="8" t="s">
        <v>2</v>
      </c>
      <c r="C4" s="9">
        <f ca="1">COUNTIFS(tblToDoList[到期日期],"&lt;"&amp;TODAY(),tblToDoList[完成],"&lt;&gt;1")</f>
        <v>0</v>
      </c>
      <c r="D4" s="9"/>
      <c r="E4" s="9"/>
      <c r="F4" s="9"/>
      <c r="G4" s="13"/>
    </row>
    <row r="5" spans="1:19" s="22" customFormat="1" ht="27.75" customHeight="1" x14ac:dyDescent="0.25">
      <c r="A5" s="19"/>
      <c r="B5" s="20" t="s">
        <v>6</v>
      </c>
      <c r="C5" s="21" t="s">
        <v>3</v>
      </c>
      <c r="D5" s="21" t="s">
        <v>9</v>
      </c>
      <c r="E5" s="21" t="s">
        <v>10</v>
      </c>
      <c r="F5" s="21" t="s">
        <v>11</v>
      </c>
      <c r="G5" s="20" t="s">
        <v>12</v>
      </c>
      <c r="H5" s="20" t="s">
        <v>4</v>
      </c>
      <c r="L5" s="23"/>
      <c r="M5" s="23"/>
      <c r="N5" s="23"/>
      <c r="O5" s="23"/>
      <c r="P5" s="23"/>
      <c r="Q5" s="23"/>
    </row>
    <row r="6" spans="1:19" ht="29.25" customHeight="1" x14ac:dyDescent="0.6">
      <c r="A6" s="24"/>
      <c r="B6" s="25"/>
      <c r="C6" s="26" t="s">
        <v>8</v>
      </c>
      <c r="D6" s="30">
        <f t="shared" ref="D6" si="0">(125-70)*5/60</f>
        <v>4.583333333333333</v>
      </c>
      <c r="E6" s="31">
        <v>42202.416666666664</v>
      </c>
      <c r="F6" s="31">
        <f>tblToDoList[[#This Row],[开始时间]]+(tblToDoList[[#This Row],[计划时间(H)]]+2)/24</f>
        <v>42202.690972222219</v>
      </c>
      <c r="G6" s="32">
        <f>INT(tblToDoList[[#This Row],[到期时间]])</f>
        <v>42202</v>
      </c>
      <c r="H6" s="25" t="s">
        <v>5</v>
      </c>
      <c r="K6" s="11"/>
      <c r="L6" s="11"/>
      <c r="M6" s="11"/>
      <c r="N6" s="11"/>
      <c r="O6" s="11"/>
      <c r="P6" s="11"/>
    </row>
    <row r="7" spans="1:19" ht="29.25" customHeight="1" x14ac:dyDescent="0.6">
      <c r="A7" s="10"/>
      <c r="B7" s="25"/>
      <c r="C7" s="26" t="s">
        <v>13</v>
      </c>
      <c r="D7" s="30"/>
      <c r="E7" s="30"/>
      <c r="F7" s="30"/>
      <c r="G7" s="27">
        <v>42203</v>
      </c>
      <c r="H7" s="25" t="s">
        <v>5</v>
      </c>
      <c r="K7" s="11"/>
      <c r="L7" s="11"/>
      <c r="M7" s="11"/>
      <c r="N7" s="11"/>
      <c r="O7" s="11"/>
      <c r="P7" s="11"/>
    </row>
    <row r="8" spans="1:19" ht="29.25" customHeight="1" x14ac:dyDescent="0.6">
      <c r="A8" s="10"/>
      <c r="B8" s="25">
        <v>1</v>
      </c>
      <c r="C8" s="35" t="s">
        <v>18</v>
      </c>
      <c r="D8" s="30">
        <v>0.5</v>
      </c>
      <c r="E8" s="31">
        <v>42202.455555555556</v>
      </c>
      <c r="F8" s="31">
        <f>tblToDoList[[#This Row],[开始时间]]+(tblToDoList[[#This Row],[计划时间(H)]])/24</f>
        <v>42202.476388888892</v>
      </c>
      <c r="G8" s="32">
        <f>INT(tblToDoList[[#This Row],[到期时间]])</f>
        <v>42202</v>
      </c>
      <c r="H8" s="25" t="s">
        <v>5</v>
      </c>
      <c r="K8" s="11"/>
      <c r="L8" s="11"/>
      <c r="M8" s="11"/>
      <c r="N8" s="11"/>
      <c r="O8" s="11"/>
      <c r="P8" s="11"/>
    </row>
    <row r="9" spans="1:19" ht="29.25" customHeight="1" x14ac:dyDescent="0.6">
      <c r="A9" s="10"/>
      <c r="B9" s="25"/>
      <c r="C9" s="26" t="s">
        <v>35</v>
      </c>
      <c r="D9" s="30">
        <v>1</v>
      </c>
      <c r="E9" s="31">
        <v>42202.636805555558</v>
      </c>
      <c r="F9" s="31">
        <f>tblToDoList[[#This Row],[开始时间]]+(tblToDoList[[#This Row],[计划时间(H)]])/24</f>
        <v>42202.678472222222</v>
      </c>
      <c r="G9" s="32">
        <f>INT(tblToDoList[[#This Row],[到期时间]])</f>
        <v>42202</v>
      </c>
      <c r="H9" s="25" t="s">
        <v>5</v>
      </c>
      <c r="K9" s="11"/>
      <c r="L9" s="11"/>
      <c r="M9" s="11"/>
      <c r="N9" s="11"/>
      <c r="O9" s="11"/>
      <c r="P9" s="11"/>
    </row>
    <row r="10" spans="1:19" ht="30" x14ac:dyDescent="0.6">
      <c r="A10" s="10"/>
      <c r="B10" s="25"/>
      <c r="C10" s="35" t="s">
        <v>36</v>
      </c>
      <c r="D10" s="30">
        <v>0.5</v>
      </c>
      <c r="E10" s="31">
        <v>42202.640277777777</v>
      </c>
      <c r="F10" s="31">
        <f>tblToDoList[[#This Row],[开始时间]]+(tblToDoList[[#This Row],[计划时间(H)]])/24</f>
        <v>42202.661111111112</v>
      </c>
      <c r="G10" s="32">
        <f>INT(tblToDoList[[#This Row],[到期时间]])</f>
        <v>42202</v>
      </c>
      <c r="H10" s="25" t="s">
        <v>5</v>
      </c>
      <c r="K10" s="11"/>
      <c r="L10" s="11"/>
      <c r="M10" s="11"/>
      <c r="N10" s="11"/>
      <c r="O10" s="11"/>
      <c r="P10" s="11"/>
    </row>
    <row r="11" spans="1:19" ht="28.5" customHeight="1" x14ac:dyDescent="0.6">
      <c r="A11" s="10"/>
      <c r="B11" s="25"/>
      <c r="C11" s="35" t="s">
        <v>37</v>
      </c>
      <c r="D11" s="30">
        <v>0.5</v>
      </c>
      <c r="E11" s="31">
        <f>F10</f>
        <v>42202.661111111112</v>
      </c>
      <c r="F11" s="31">
        <f>tblToDoList[[#This Row],[开始时间]]+(tblToDoList[[#This Row],[计划时间(H)]])/24</f>
        <v>42202.681944444448</v>
      </c>
      <c r="G11" s="32">
        <f>INT(tblToDoList[[#This Row],[到期时间]])</f>
        <v>42202</v>
      </c>
      <c r="H11" s="25" t="s">
        <v>5</v>
      </c>
      <c r="K11" s="11"/>
      <c r="L11" s="11"/>
      <c r="M11" s="11"/>
      <c r="N11" s="11"/>
      <c r="O11" s="11"/>
      <c r="P11" s="11"/>
    </row>
    <row r="12" spans="1:19" ht="29.25" customHeight="1" x14ac:dyDescent="0.6">
      <c r="A12" s="10"/>
      <c r="K12" s="11"/>
      <c r="L12" s="11"/>
      <c r="M12" s="11"/>
      <c r="N12" s="11"/>
      <c r="O12" s="11"/>
      <c r="P12" s="11"/>
    </row>
    <row r="13" spans="1:19" ht="29.25" customHeight="1" x14ac:dyDescent="0.6">
      <c r="A13" s="10"/>
      <c r="K13" s="11"/>
      <c r="L13" s="11"/>
      <c r="M13" s="11"/>
      <c r="N13" s="11"/>
      <c r="O13" s="11"/>
      <c r="P13" s="11"/>
    </row>
    <row r="14" spans="1:19" ht="29.25" customHeight="1" x14ac:dyDescent="0.6">
      <c r="A14" s="10"/>
    </row>
    <row r="15" spans="1:19" ht="29.25" customHeight="1" x14ac:dyDescent="0.6">
      <c r="A15" s="10"/>
    </row>
  </sheetData>
  <mergeCells count="1">
    <mergeCell ref="B2:C2"/>
  </mergeCells>
  <phoneticPr fontId="7" type="noConversion"/>
  <conditionalFormatting sqref="C6:H11">
    <cfRule type="expression" dxfId="40" priority="6" stopIfTrue="1">
      <formula>$B6=1</formula>
    </cfRule>
    <cfRule type="expression" dxfId="39" priority="8">
      <formula>$G6=TODAY()</formula>
    </cfRule>
    <cfRule type="expression" dxfId="38" priority="14">
      <formula>AND($B6&lt;&gt;1,$G6&lt;TODAY())</formula>
    </cfRule>
  </conditionalFormatting>
  <conditionalFormatting sqref="C6:F11">
    <cfRule type="expression" dxfId="37" priority="49" stopIfTrue="1">
      <formula>G6=""</formula>
    </cfRule>
    <cfRule type="expression" dxfId="36" priority="50">
      <formula>AND(B6&lt;&gt;1,G6=TODAY())</formula>
    </cfRule>
  </conditionalFormatting>
  <dataValidations count="1">
    <dataValidation type="list" allowBlank="1" showInputMessage="1" showErrorMessage="1" sqref="H6:H11">
      <formula1>"高,中,低"</formula1>
    </dataValidation>
  </dataValidations>
  <pageMargins left="0.5" right="0.5" top="0.75" bottom="0.75" header="0.3" footer="0.3"/>
  <pageSetup scale="64" fitToHeight="0" orientation="portrait" r:id="rId1"/>
  <drawing r:id="rId2"/>
  <picture r:id="rId3"/>
  <tableParts count="1">
    <tablePart r:id="rId4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46" id="{275B76BE-E413-423E-88E4-E5B70F4DE729}">
            <x14:iconSet iconSet="3Symbols2" showValue="0" custom="1">
              <x14:cfvo type="percent">
                <xm:f>0</xm:f>
              </x14:cfvo>
              <x14:cfvo type="formula">
                <xm:f>0</xm:f>
              </x14:cfvo>
              <x14:cfvo type="num">
                <xm:f>1</xm:f>
              </x14:cfvo>
              <x14:cfIcon iconSet="NoIcons" iconId="0"/>
              <x14:cfIcon iconSet="NoIcons" iconId="0"/>
              <x14:cfIcon iconSet="3Symbols2" iconId="2"/>
            </x14:iconSet>
          </x14:cfRule>
          <xm:sqref>B6:B11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7"/>
  <sheetViews>
    <sheetView tabSelected="1" workbookViewId="0">
      <selection activeCell="B8" sqref="B8"/>
    </sheetView>
  </sheetViews>
  <sheetFormatPr defaultRowHeight="16.5" x14ac:dyDescent="0.6"/>
  <cols>
    <col min="1" max="1" width="3.453125" style="33" bestFit="1" customWidth="1"/>
    <col min="2" max="2" width="20.81640625" style="33" bestFit="1" customWidth="1"/>
    <col min="3" max="16384" width="8.7265625" style="33"/>
  </cols>
  <sheetData>
    <row r="1" spans="1:2" x14ac:dyDescent="0.6">
      <c r="A1" s="34" t="s">
        <v>14</v>
      </c>
      <c r="B1" s="34" t="s">
        <v>15</v>
      </c>
    </row>
    <row r="2" spans="1:2" x14ac:dyDescent="0.6">
      <c r="A2" s="33">
        <v>1</v>
      </c>
      <c r="B2" s="33" t="s">
        <v>16</v>
      </c>
    </row>
    <row r="3" spans="1:2" x14ac:dyDescent="0.6">
      <c r="B3" s="33" t="s">
        <v>17</v>
      </c>
    </row>
    <row r="4" spans="1:2" x14ac:dyDescent="0.6">
      <c r="B4" s="33" t="s">
        <v>19</v>
      </c>
    </row>
    <row r="5" spans="1:2" ht="33" x14ac:dyDescent="0.6">
      <c r="B5" s="39" t="s">
        <v>33</v>
      </c>
    </row>
    <row r="6" spans="1:2" ht="33" x14ac:dyDescent="0.6">
      <c r="B6" s="39" t="s">
        <v>34</v>
      </c>
    </row>
    <row r="7" spans="1:2" x14ac:dyDescent="0.6">
      <c r="B7" s="33" t="s">
        <v>38</v>
      </c>
    </row>
  </sheetData>
  <phoneticPr fontId="7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10"/>
  <sheetViews>
    <sheetView workbookViewId="0">
      <selection activeCell="A27" sqref="A27"/>
    </sheetView>
  </sheetViews>
  <sheetFormatPr defaultRowHeight="16.5" x14ac:dyDescent="0.6"/>
  <cols>
    <col min="1" max="1" width="24.7265625" style="33" bestFit="1" customWidth="1"/>
    <col min="2" max="2" width="20.81640625" style="33" bestFit="1" customWidth="1"/>
    <col min="3" max="16384" width="8.7265625" style="33"/>
  </cols>
  <sheetData>
    <row r="1" spans="1:2" x14ac:dyDescent="0.6">
      <c r="A1" s="36" t="s">
        <v>21</v>
      </c>
      <c r="B1" s="33" t="s">
        <v>22</v>
      </c>
    </row>
    <row r="2" spans="1:2" x14ac:dyDescent="0.6">
      <c r="A2" s="36" t="s">
        <v>20</v>
      </c>
    </row>
    <row r="3" spans="1:2" x14ac:dyDescent="0.6">
      <c r="A3" s="36" t="s">
        <v>23</v>
      </c>
      <c r="B3" s="33" t="s">
        <v>24</v>
      </c>
    </row>
    <row r="4" spans="1:2" x14ac:dyDescent="0.6">
      <c r="A4" s="36" t="s">
        <v>25</v>
      </c>
    </row>
    <row r="5" spans="1:2" x14ac:dyDescent="0.6">
      <c r="A5" s="37" t="s">
        <v>26</v>
      </c>
      <c r="B5" s="38" t="s">
        <v>27</v>
      </c>
    </row>
    <row r="6" spans="1:2" x14ac:dyDescent="0.6">
      <c r="A6" s="36" t="s">
        <v>28</v>
      </c>
    </row>
    <row r="7" spans="1:2" x14ac:dyDescent="0.6">
      <c r="A7" s="36" t="s">
        <v>29</v>
      </c>
    </row>
    <row r="8" spans="1:2" x14ac:dyDescent="0.6">
      <c r="A8" s="36" t="s">
        <v>30</v>
      </c>
    </row>
    <row r="9" spans="1:2" x14ac:dyDescent="0.6">
      <c r="A9" s="36" t="s">
        <v>31</v>
      </c>
    </row>
    <row r="10" spans="1:2" x14ac:dyDescent="0.6">
      <c r="A10" s="36" t="s">
        <v>32</v>
      </c>
    </row>
  </sheetData>
  <phoneticPr fontId="7" type="noConversion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?mso-contentType ?>
<FormTemplates xmlns="http://schemas.microsoft.com/sharepoint/v3/contenttype/forms">
  <Display>DocumentLibraryForm</Display>
  <Edit>AssetEditForm</Edit>
  <New>DocumentLibraryForm</New>
</FormTemplates>
</file>

<file path=customXml/itemProps1.xml><?xml version="1.0" encoding="utf-8"?>
<ds:datastoreItem xmlns:ds="http://schemas.openxmlformats.org/officeDocument/2006/customXml" ds:itemID="{41856473-CCE6-473F-91AD-70568D3A121B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3</vt:i4>
      </vt:variant>
      <vt:variant>
        <vt:lpstr>命名范围</vt:lpstr>
      </vt:variant>
      <vt:variant>
        <vt:i4>2</vt:i4>
      </vt:variant>
    </vt:vector>
  </HeadingPairs>
  <TitlesOfParts>
    <vt:vector size="5" baseType="lpstr">
      <vt:lpstr>待办事项列表</vt:lpstr>
      <vt:lpstr>笔记</vt:lpstr>
      <vt:lpstr>数组初始化方式</vt:lpstr>
      <vt:lpstr>DueToday</vt:lpstr>
      <vt:lpstr>待办事项列表!Print_Titles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刘朝晖</dc:creator>
  <cp:keywords/>
  <cp:lastModifiedBy>刘朝晖</cp:lastModifiedBy>
  <dcterms:created xsi:type="dcterms:W3CDTF">2015-07-17T01:49:55Z</dcterms:created>
  <dcterms:modified xsi:type="dcterms:W3CDTF">2015-07-17T10:11:06Z</dcterms:modified>
  <cp:version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TemplateID">
    <vt:lpwstr>TC031076709991</vt:lpwstr>
  </property>
</Properties>
</file>