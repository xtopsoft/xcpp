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xtopsoft\xtask\"/>
    </mc:Choice>
  </mc:AlternateContent>
  <bookViews>
    <workbookView xWindow="0" yWindow="0" windowWidth="28800" windowHeight="13035"/>
  </bookViews>
  <sheets>
    <sheet name="待办事项列表" sheetId="7" r:id="rId1"/>
  </sheets>
  <definedNames>
    <definedName name="Assignedto">#REF!</definedName>
    <definedName name="Color1">#REF!</definedName>
    <definedName name="Color2">#REF!</definedName>
    <definedName name="Color3">#REF!</definedName>
    <definedName name="Color4">#REF!</definedName>
    <definedName name="Color5">#REF!</definedName>
    <definedName name="Color6">#REF!</definedName>
    <definedName name="ColorKey">#REF!</definedName>
    <definedName name="DueToday">待办事项列表!$C$3</definedName>
    <definedName name="Grid" localSheetId="0">#REF!</definedName>
    <definedName name="_xlnm.Print_Titles" localSheetId="0">待办事项列表!$1:$5</definedName>
  </definedNames>
  <calcPr calcId="152511"/>
</workbook>
</file>

<file path=xl/calcChain.xml><?xml version="1.0" encoding="utf-8"?>
<calcChain xmlns="http://schemas.openxmlformats.org/spreadsheetml/2006/main">
  <c r="I31" i="7" l="1"/>
  <c r="I27" i="7"/>
  <c r="I26" i="7"/>
  <c r="I22" i="7"/>
  <c r="I11" i="7"/>
  <c r="G11" i="7"/>
  <c r="E11" i="7"/>
  <c r="I10" i="7"/>
  <c r="G10" i="7"/>
  <c r="I7" i="7" l="1"/>
  <c r="G6" i="7"/>
  <c r="I6" i="7" s="1"/>
  <c r="B2" i="7"/>
  <c r="C4" i="7" l="1"/>
  <c r="C3" i="7"/>
</calcChain>
</file>

<file path=xl/sharedStrings.xml><?xml version="1.0" encoding="utf-8"?>
<sst xmlns="http://schemas.openxmlformats.org/spreadsheetml/2006/main" count="61" uniqueCount="51">
  <si>
    <t xml:space="preserve">                            </t>
  </si>
  <si>
    <t>今日到期：</t>
  </si>
  <si>
    <t>过期：</t>
  </si>
  <si>
    <t>描述</t>
  </si>
  <si>
    <t>优先级</t>
  </si>
  <si>
    <t>完成</t>
    <phoneticPr fontId="7" type="noConversion"/>
  </si>
  <si>
    <t>计划时间(H)</t>
    <phoneticPr fontId="7" type="noConversion"/>
  </si>
  <si>
    <t>开始时间</t>
    <phoneticPr fontId="7" type="noConversion"/>
  </si>
  <si>
    <t>到期时间</t>
    <phoneticPr fontId="7" type="noConversion"/>
  </si>
  <si>
    <t>到期日期</t>
    <phoneticPr fontId="7" type="noConversion"/>
  </si>
  <si>
    <t xml:space="preserve"> 待办事项列表</t>
    <phoneticPr fontId="7" type="noConversion"/>
  </si>
  <si>
    <t>生成MD5文件的批处理</t>
    <phoneticPr fontId="7" type="noConversion"/>
  </si>
  <si>
    <t>完成时间</t>
    <phoneticPr fontId="7" type="noConversion"/>
  </si>
  <si>
    <t>第1章</t>
    <phoneticPr fontId="7" type="noConversion"/>
  </si>
  <si>
    <t>第2章</t>
    <phoneticPr fontId="7" type="noConversion"/>
  </si>
  <si>
    <t>C++的几个标准</t>
    <phoneticPr fontId="7" type="noConversion"/>
  </si>
  <si>
    <t>C++11 标准新内容</t>
    <phoneticPr fontId="7" type="noConversion"/>
  </si>
  <si>
    <t>使用make来编译程序</t>
    <phoneticPr fontId="7" type="noConversion"/>
  </si>
  <si>
    <t>第3章</t>
  </si>
  <si>
    <t>第5章</t>
  </si>
  <si>
    <t>第6章</t>
  </si>
  <si>
    <t>第7章</t>
  </si>
  <si>
    <t>第8章</t>
  </si>
  <si>
    <t>第9章</t>
  </si>
  <si>
    <t>第10章</t>
  </si>
  <si>
    <t>第11章</t>
  </si>
  <si>
    <t>第12章</t>
  </si>
  <si>
    <t>第13章</t>
  </si>
  <si>
    <t>第14章</t>
  </si>
  <si>
    <t>第15章</t>
  </si>
  <si>
    <t>第16章</t>
  </si>
  <si>
    <t>第17章</t>
  </si>
  <si>
    <t>第18章</t>
  </si>
  <si>
    <t>#4 指针</t>
    <phoneticPr fontId="7" type="noConversion"/>
  </si>
  <si>
    <t>#7 函数指针</t>
    <phoneticPr fontId="7" type="noConversion"/>
  </si>
  <si>
    <t>#8 函数模板</t>
    <phoneticPr fontId="7" type="noConversion"/>
  </si>
  <si>
    <t>#12 构造和析构</t>
    <phoneticPr fontId="7" type="noConversion"/>
  </si>
  <si>
    <t>前言和目录</t>
    <phoneticPr fontId="7" type="noConversion"/>
  </si>
  <si>
    <t>编译的时候，如何指定源码的编码格式？</t>
    <phoneticPr fontId="7" type="noConversion"/>
  </si>
  <si>
    <t>g++ -std=c++0x</t>
    <phoneticPr fontId="7" type="noConversion"/>
  </si>
  <si>
    <t>使用Vim，编写和编译C/C++</t>
    <phoneticPr fontId="7" type="noConversion"/>
  </si>
  <si>
    <t>C++文件扩展名</t>
    <phoneticPr fontId="7" type="noConversion"/>
  </si>
  <si>
    <t>linux gdb</t>
    <phoneticPr fontId="7" type="noConversion"/>
  </si>
  <si>
    <t>下载源码 
http://www.informit.com/store/c-plus-plus-primer-plus-9780321776402</t>
    <phoneticPr fontId="7" type="noConversion"/>
  </si>
  <si>
    <t>第4章</t>
    <phoneticPr fontId="7" type="noConversion"/>
  </si>
  <si>
    <t>README.md的写法</t>
    <phoneticPr fontId="7" type="noConversion"/>
  </si>
  <si>
    <t>CentOS7中VMTools的安装</t>
    <phoneticPr fontId="7" type="noConversion"/>
  </si>
  <si>
    <t>看完《C++ Primer Plus》</t>
    <phoneticPr fontId="7" type="noConversion"/>
  </si>
  <si>
    <t>种类</t>
    <phoneticPr fontId="7" type="noConversion"/>
  </si>
  <si>
    <t>C++ Primer Plus</t>
    <phoneticPr fontId="7" type="noConversion"/>
  </si>
  <si>
    <t>linux/macx/vc++编译方式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</si>
</sst>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\!\.dd\!\.yyyy"/>
    <numFmt numFmtId="177" formatCode="[$-F800]dddd\!\,\!\ mmmm\!\ dd\!\,\!\ yyyy"/>
    <numFmt numFmtId="178" formatCode="0.00_ "/>
    <numFmt numFmtId="179" formatCode="yyyy/m/d\ h:mm;@"/>
    <numFmt numFmtId="180" formatCode="[$-F800]dddd\,\ mmmm\ dd\,\ yyyy"/>
  </numFmts>
  <fonts count="17" x14ac:knownFonts="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/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9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5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5" fillId="0" borderId="0" xfId="1" applyFont="1" applyFill="1" applyBorder="1"/>
    <xf numFmtId="0" fontId="16" fillId="0" borderId="1" xfId="1" applyFont="1" applyFill="1" applyBorder="1"/>
    <xf numFmtId="0" fontId="16" fillId="0" borderId="2" xfId="0" applyFont="1" applyAlignment="1">
      <alignment horizontal="center"/>
    </xf>
    <xf numFmtId="0" fontId="16" fillId="0" borderId="2" xfId="0" applyFont="1" applyAlignment="1">
      <alignment horizontal="left" vertical="center" indent="1"/>
    </xf>
    <xf numFmtId="0" fontId="16" fillId="0" borderId="2" xfId="0" applyFont="1">
      <alignment vertical="center"/>
    </xf>
    <xf numFmtId="0" fontId="16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8" fontId="10" fillId="0" borderId="2" xfId="0" applyNumberFormat="1" applyFont="1" applyAlignment="1">
      <alignment horizontal="left" vertical="center" indent="1"/>
    </xf>
    <xf numFmtId="179" fontId="10" fillId="0" borderId="2" xfId="0" applyNumberFormat="1" applyFont="1" applyAlignment="1">
      <alignment horizontal="center" vertical="center"/>
    </xf>
    <xf numFmtId="180" fontId="10" fillId="0" borderId="2" xfId="0" applyNumberFormat="1" applyFont="1" applyAlignment="1">
      <alignment horizontal="center" vertical="center"/>
    </xf>
    <xf numFmtId="0" fontId="10" fillId="0" borderId="2" xfId="0" applyFont="1" applyAlignment="1">
      <alignment horizontal="left" vertical="center" wrapText="1" indent="1"/>
    </xf>
    <xf numFmtId="0" fontId="16" fillId="0" borderId="2" xfId="0" applyFont="1" applyAlignment="1">
      <alignment horizontal="center" vertical="center"/>
    </xf>
    <xf numFmtId="179" fontId="10" fillId="0" borderId="2" xfId="0" applyNumberFormat="1" applyFont="1" applyAlignment="1">
      <alignment horizontal="left" vertical="center" indent="1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left" vertical="center" indent="1"/>
    </xf>
    <xf numFmtId="178" fontId="10" fillId="0" borderId="0" xfId="0" applyNumberFormat="1" applyFont="1" applyBorder="1" applyAlignment="1">
      <alignment horizontal="left" vertical="center" indent="1"/>
    </xf>
    <xf numFmtId="179" fontId="10" fillId="0" borderId="0" xfId="0" applyNumberFormat="1" applyFont="1" applyBorder="1" applyAlignment="1">
      <alignment horizontal="left" vertical="center" indent="1"/>
    </xf>
    <xf numFmtId="179" fontId="10" fillId="0" borderId="0" xfId="0" applyNumberFormat="1" applyFont="1" applyBorder="1" applyAlignment="1">
      <alignment horizontal="center" vertical="center"/>
    </xf>
    <xf numFmtId="177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6" fontId="9" fillId="0" borderId="0" xfId="2" applyNumberFormat="1" applyFont="1" applyFill="1" applyBorder="1" applyAlignment="1">
      <alignment horizontal="left"/>
    </xf>
    <xf numFmtId="0" fontId="10" fillId="0" borderId="2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 indent="1"/>
    </xf>
    <xf numFmtId="0" fontId="16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 wrapText="1" indent="1"/>
    </xf>
    <xf numFmtId="178" fontId="10" fillId="0" borderId="2" xfId="0" applyNumberFormat="1" applyFont="1" applyBorder="1" applyAlignment="1">
      <alignment horizontal="left" vertical="center" indent="1"/>
    </xf>
    <xf numFmtId="179" fontId="10" fillId="0" borderId="2" xfId="0" applyNumberFormat="1" applyFont="1" applyBorder="1" applyAlignment="1">
      <alignment horizontal="left" vertical="center" indent="1"/>
    </xf>
    <xf numFmtId="179" fontId="10" fillId="0" borderId="2" xfId="0" applyNumberFormat="1" applyFont="1" applyBorder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180" fontId="10" fillId="0" borderId="0" xfId="0" applyNumberFormat="1" applyFont="1" applyBorder="1" applyAlignment="1">
      <alignment horizontal="center"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6" fontId="9" fillId="0" borderId="5" xfId="2" applyNumberFormat="1" applyFont="1" applyFill="1" applyBorder="1" applyAlignment="1">
      <alignment horizontal="left"/>
    </xf>
    <xf numFmtId="176" fontId="9" fillId="0" borderId="0" xfId="2" applyNumberFormat="1" applyFont="1" applyFill="1" applyBorder="1" applyAlignment="1">
      <alignment horizontal="left"/>
    </xf>
  </cellXfs>
  <cellStyles count="7">
    <cellStyle name="20% - 着色 5" xfId="1" builtinId="46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常规" xfId="0" builtinId="0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color rgb="FF00B050"/>
      </font>
    </dxf>
    <dxf>
      <font>
        <color theme="3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9" formatCode="yyyy/m/d\ 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9" formatCode="yyyy/m/d\ h:mm;@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border>
        <bottom style="medium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20"/>
      <tableStyleElement type="headerRow" dxfId="19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2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blToDoList" displayName="tblToDoList" ref="B5:J42" totalsRowShown="0" headerRowDxfId="18" dataDxfId="16" headerRowBorderDxfId="17">
  <autoFilter ref="B5:J42"/>
  <sortState ref="B6:G30">
    <sortCondition ref="B5:B30"/>
  </sortState>
  <tableColumns count="9">
    <tableColumn id="1" name="完成" dataDxfId="15"/>
    <tableColumn id="2" name="描述" dataDxfId="14"/>
    <tableColumn id="8" name="种类" dataDxfId="0"/>
    <tableColumn id="5" name="计划时间(H)" dataDxfId="13">
      <calculatedColumnFormula>40*5/60</calculatedColumnFormula>
    </tableColumn>
    <tableColumn id="6" name="开始时间" dataDxfId="12"/>
    <tableColumn id="7" name="到期时间" dataDxfId="11">
      <calculatedColumnFormula>tblToDoList[[#This Row],[开始时间]]+tblToDoList[[#This Row],[计划时间(H)]]</calculatedColumnFormula>
    </tableColumn>
    <tableColumn id="9" name="完成时间" dataDxfId="10"/>
    <tableColumn id="3" name="到期日期" dataDxfId="9"/>
    <tableColumn id="4" name="优先级" dataDxfId="8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Y42"/>
  <sheetViews>
    <sheetView showGridLines="0" tabSelected="1" zoomScaleNormal="100" workbookViewId="0">
      <selection activeCell="B16" sqref="B16"/>
    </sheetView>
  </sheetViews>
  <sheetFormatPr defaultColWidth="0" defaultRowHeight="29.25" customHeight="1" x14ac:dyDescent="0.6"/>
  <cols>
    <col min="1" max="1" width="4.54296875" style="28" customWidth="1"/>
    <col min="2" max="2" width="8.54296875" style="16" bestFit="1" customWidth="1"/>
    <col min="3" max="3" width="28.81640625" style="11" bestFit="1" customWidth="1"/>
    <col min="4" max="4" width="14.7265625" style="11" bestFit="1" customWidth="1"/>
    <col min="5" max="6" width="12.26953125" style="11" bestFit="1" customWidth="1"/>
    <col min="7" max="7" width="14" style="11" bestFit="1" customWidth="1"/>
    <col min="8" max="8" width="14" style="11" customWidth="1"/>
    <col min="9" max="9" width="11.1796875" style="16" bestFit="1" customWidth="1"/>
    <col min="10" max="10" width="8.54296875" bestFit="1" customWidth="1"/>
    <col min="11" max="11" width="8.54296875" style="16" bestFit="1" customWidth="1"/>
    <col min="12" max="12" width="7.6328125" style="16" customWidth="1"/>
    <col min="13" max="13" width="20.08984375" style="11" hidden="1" customWidth="1"/>
    <col min="14" max="14" width="17.1796875" style="16" hidden="1" customWidth="1"/>
    <col min="15" max="19" width="0" style="16" hidden="1" customWidth="1"/>
    <col min="20" max="24" width="0" style="11" hidden="1" customWidth="1"/>
    <col min="25" max="25" width="0" style="11" hidden="1"/>
    <col min="26" max="16384" width="8.7265625" style="11" hidden="1"/>
  </cols>
  <sheetData>
    <row r="1" spans="1:21" ht="33" customHeight="1" x14ac:dyDescent="0.45">
      <c r="A1" s="1" t="s">
        <v>0</v>
      </c>
      <c r="B1" s="57" t="s">
        <v>10</v>
      </c>
      <c r="C1" s="58"/>
      <c r="D1" s="44"/>
      <c r="E1" s="3"/>
      <c r="F1" s="3"/>
      <c r="G1" s="3"/>
      <c r="H1" s="3"/>
      <c r="I1" s="2"/>
      <c r="J1" s="13"/>
      <c r="K1" s="14"/>
      <c r="L1" s="3"/>
      <c r="M1" s="15"/>
      <c r="N1" s="15"/>
      <c r="O1" s="15"/>
      <c r="P1" s="15"/>
      <c r="Q1" s="15"/>
      <c r="R1" s="15"/>
      <c r="T1" s="16"/>
      <c r="U1" s="16"/>
    </row>
    <row r="2" spans="1:21" ht="21.75" customHeight="1" x14ac:dyDescent="0.45">
      <c r="A2" s="1"/>
      <c r="B2" s="56">
        <f ca="1">TODAY()</f>
        <v>42205</v>
      </c>
      <c r="C2" s="56"/>
      <c r="D2" s="43"/>
      <c r="E2" s="12"/>
      <c r="F2" s="12"/>
      <c r="G2" s="12"/>
      <c r="H2" s="29"/>
      <c r="I2" s="2"/>
      <c r="J2" s="17"/>
      <c r="K2" s="18"/>
      <c r="L2" s="3"/>
      <c r="M2" s="15"/>
      <c r="N2" s="15"/>
      <c r="O2" s="15"/>
      <c r="P2" s="15"/>
      <c r="Q2" s="15"/>
      <c r="R2" s="15"/>
      <c r="T2" s="16"/>
      <c r="U2" s="16"/>
    </row>
    <row r="3" spans="1:21" s="3" customFormat="1" ht="18.75" customHeight="1" x14ac:dyDescent="0.25">
      <c r="A3" s="4"/>
      <c r="B3" s="5" t="s">
        <v>1</v>
      </c>
      <c r="C3" s="6">
        <f ca="1">COUNTIFS(tblToDoList[到期日期],TODAY(),tblToDoList[完成],"&lt;&gt;1")</f>
        <v>2</v>
      </c>
      <c r="D3" s="6"/>
      <c r="E3" s="6"/>
      <c r="F3" s="6"/>
      <c r="G3" s="6"/>
      <c r="H3" s="6"/>
      <c r="L3" s="18"/>
      <c r="N3" s="18"/>
      <c r="O3" s="18"/>
      <c r="P3" s="18"/>
      <c r="Q3" s="18"/>
      <c r="R3" s="18"/>
      <c r="S3" s="13"/>
      <c r="T3" s="13"/>
      <c r="U3" s="13"/>
    </row>
    <row r="4" spans="1:21" s="3" customFormat="1" ht="25.5" customHeight="1" x14ac:dyDescent="0.6">
      <c r="A4" s="7"/>
      <c r="B4" s="8" t="s">
        <v>2</v>
      </c>
      <c r="C4" s="9">
        <f ca="1">COUNTIFS(tblToDoList[到期日期],"&lt;"&amp;TODAY(),tblToDoList[完成],"&lt;&gt;1")</f>
        <v>0</v>
      </c>
      <c r="D4" s="9"/>
      <c r="E4" s="9"/>
      <c r="F4" s="9"/>
      <c r="G4" s="9"/>
      <c r="H4" s="9"/>
      <c r="I4" s="13"/>
    </row>
    <row r="5" spans="1:21" s="22" customFormat="1" ht="27.75" customHeight="1" x14ac:dyDescent="0.25">
      <c r="A5" s="19"/>
      <c r="B5" s="20" t="s">
        <v>5</v>
      </c>
      <c r="C5" s="21" t="s">
        <v>3</v>
      </c>
      <c r="D5" s="21" t="s">
        <v>48</v>
      </c>
      <c r="E5" s="21" t="s">
        <v>6</v>
      </c>
      <c r="F5" s="21" t="s">
        <v>7</v>
      </c>
      <c r="G5" s="21" t="s">
        <v>8</v>
      </c>
      <c r="H5" s="21" t="s">
        <v>12</v>
      </c>
      <c r="I5" s="20" t="s">
        <v>9</v>
      </c>
      <c r="J5" s="20" t="s">
        <v>4</v>
      </c>
      <c r="N5" s="23"/>
      <c r="O5" s="23"/>
      <c r="P5" s="23"/>
      <c r="Q5" s="23"/>
      <c r="R5" s="23"/>
      <c r="S5" s="23"/>
    </row>
    <row r="6" spans="1:21" s="22" customFormat="1" ht="27.75" customHeight="1" x14ac:dyDescent="0.25">
      <c r="A6" s="19"/>
      <c r="B6" s="34">
        <v>1</v>
      </c>
      <c r="C6" s="21" t="s">
        <v>11</v>
      </c>
      <c r="D6" s="21"/>
      <c r="E6" s="30">
        <v>1</v>
      </c>
      <c r="F6" s="31">
        <v>42205.390972222223</v>
      </c>
      <c r="G6" s="35">
        <f>tblToDoList[[#This Row],[开始时间]]+tblToDoList[[#This Row],[计划时间(H)]]/24</f>
        <v>42205.432638888888</v>
      </c>
      <c r="H6" s="35">
        <v>42205.416666666664</v>
      </c>
      <c r="I6" s="32">
        <f>INT(tblToDoList[[#This Row],[到期时间]])</f>
        <v>42205</v>
      </c>
      <c r="J6" s="34"/>
      <c r="N6" s="23"/>
      <c r="O6" s="23"/>
      <c r="P6" s="23"/>
      <c r="Q6" s="23"/>
      <c r="R6" s="23"/>
      <c r="S6" s="23"/>
    </row>
    <row r="7" spans="1:21" s="22" customFormat="1" ht="27.75" customHeight="1" x14ac:dyDescent="0.25">
      <c r="A7" s="19"/>
      <c r="B7" s="34"/>
      <c r="C7" s="21" t="s">
        <v>47</v>
      </c>
      <c r="D7" s="21" t="s">
        <v>49</v>
      </c>
      <c r="E7" s="30"/>
      <c r="F7" s="30"/>
      <c r="G7" s="35">
        <v>42217</v>
      </c>
      <c r="H7" s="31"/>
      <c r="I7" s="32">
        <f>INT(tblToDoList[[#This Row],[到期时间]])</f>
        <v>42217</v>
      </c>
      <c r="J7" s="34"/>
      <c r="N7" s="23"/>
      <c r="O7" s="23"/>
      <c r="P7" s="23"/>
      <c r="Q7" s="23"/>
      <c r="R7" s="23"/>
      <c r="S7" s="23"/>
    </row>
    <row r="8" spans="1:21" ht="29.25" customHeight="1" x14ac:dyDescent="0.6">
      <c r="A8" s="24"/>
      <c r="B8" s="25">
        <v>1</v>
      </c>
      <c r="C8" s="33" t="s">
        <v>45</v>
      </c>
      <c r="D8" s="33"/>
      <c r="E8" s="30"/>
      <c r="F8" s="31"/>
      <c r="G8" s="31"/>
      <c r="H8" s="31"/>
      <c r="I8" s="32">
        <v>42205</v>
      </c>
      <c r="J8" s="25"/>
      <c r="L8" s="11"/>
      <c r="N8" s="11"/>
      <c r="O8" s="11"/>
      <c r="P8" s="11"/>
      <c r="Q8" s="11"/>
      <c r="R8" s="11"/>
      <c r="S8" s="11"/>
    </row>
    <row r="9" spans="1:21" ht="29.25" customHeight="1" x14ac:dyDescent="0.6">
      <c r="A9" s="10"/>
      <c r="B9" s="25">
        <v>1</v>
      </c>
      <c r="C9" s="26" t="s">
        <v>46</v>
      </c>
      <c r="D9" s="26"/>
      <c r="E9" s="30"/>
      <c r="F9" s="31"/>
      <c r="G9" s="31"/>
      <c r="H9" s="31"/>
      <c r="I9" s="32">
        <v>42205</v>
      </c>
      <c r="J9" s="25"/>
      <c r="L9" s="11"/>
      <c r="N9" s="11"/>
      <c r="O9" s="11"/>
      <c r="P9" s="11"/>
      <c r="Q9" s="11"/>
      <c r="R9" s="11"/>
      <c r="S9" s="11"/>
    </row>
    <row r="10" spans="1:21" ht="29.25" customHeight="1" x14ac:dyDescent="0.6">
      <c r="A10" s="10"/>
      <c r="B10" s="34">
        <v>1</v>
      </c>
      <c r="C10" s="21" t="s">
        <v>37</v>
      </c>
      <c r="D10" s="21" t="s">
        <v>49</v>
      </c>
      <c r="E10" s="30">
        <v>0.5</v>
      </c>
      <c r="F10" s="31">
        <v>42205.430555555555</v>
      </c>
      <c r="G10" s="35" t="e">
        <f>#REF!+#REF!/24</f>
        <v>#REF!</v>
      </c>
      <c r="H10" s="31"/>
      <c r="I10" s="32" t="e">
        <f>INT(#REF!)</f>
        <v>#REF!</v>
      </c>
      <c r="J10" s="25"/>
      <c r="L10" s="11"/>
      <c r="N10" s="11"/>
      <c r="O10" s="11"/>
      <c r="P10" s="11"/>
      <c r="Q10" s="11"/>
      <c r="R10" s="11"/>
      <c r="S10" s="11"/>
    </row>
    <row r="11" spans="1:21" ht="29.25" customHeight="1" x14ac:dyDescent="0.6">
      <c r="A11" s="10"/>
      <c r="B11" s="34">
        <v>1</v>
      </c>
      <c r="C11" s="21" t="s">
        <v>13</v>
      </c>
      <c r="D11" s="21" t="s">
        <v>49</v>
      </c>
      <c r="E11" s="30">
        <f>11*3/60</f>
        <v>0.55000000000000004</v>
      </c>
      <c r="F11" s="31">
        <v>42205.583333333336</v>
      </c>
      <c r="G11" s="35" t="e">
        <f>#REF!+#REF!/24</f>
        <v>#REF!</v>
      </c>
      <c r="H11" s="35">
        <v>42205.60833333333</v>
      </c>
      <c r="I11" s="32" t="e">
        <f>INT(#REF!)</f>
        <v>#REF!</v>
      </c>
      <c r="J11" s="25"/>
      <c r="L11" s="11"/>
      <c r="N11" s="11"/>
      <c r="O11" s="11"/>
      <c r="P11" s="11"/>
      <c r="Q11" s="11"/>
      <c r="R11" s="11"/>
      <c r="S11" s="11"/>
    </row>
    <row r="12" spans="1:21" ht="15.75" x14ac:dyDescent="0.6">
      <c r="A12" s="10"/>
      <c r="B12" s="34"/>
      <c r="C12" s="21" t="s">
        <v>14</v>
      </c>
      <c r="D12" s="21" t="s">
        <v>49</v>
      </c>
      <c r="E12" s="30"/>
      <c r="F12" s="30"/>
      <c r="G12" s="35"/>
      <c r="H12" s="31"/>
      <c r="I12" s="32">
        <v>42205</v>
      </c>
      <c r="J12" s="25"/>
      <c r="L12" s="11"/>
      <c r="N12" s="11"/>
      <c r="O12" s="11"/>
      <c r="P12" s="11"/>
      <c r="Q12" s="11"/>
      <c r="R12" s="11"/>
      <c r="S12" s="11"/>
    </row>
    <row r="13" spans="1:21" ht="28.5" customHeight="1" x14ac:dyDescent="0.6">
      <c r="A13" s="10"/>
      <c r="B13" s="34"/>
      <c r="C13" s="21" t="s">
        <v>18</v>
      </c>
      <c r="D13" s="21" t="s">
        <v>49</v>
      </c>
      <c r="E13" s="30"/>
      <c r="F13" s="30"/>
      <c r="G13" s="35"/>
      <c r="H13" s="31"/>
      <c r="I13" s="32">
        <v>42205</v>
      </c>
      <c r="J13" s="25"/>
      <c r="L13" s="11"/>
      <c r="N13" s="11"/>
      <c r="O13" s="11"/>
      <c r="P13" s="11"/>
      <c r="Q13" s="11"/>
      <c r="R13" s="11"/>
      <c r="S13" s="11"/>
    </row>
    <row r="14" spans="1:21" ht="29.25" customHeight="1" x14ac:dyDescent="0.6">
      <c r="A14" s="10"/>
      <c r="B14" s="25">
        <v>1</v>
      </c>
      <c r="C14" s="33" t="s">
        <v>43</v>
      </c>
      <c r="D14" s="21" t="s">
        <v>49</v>
      </c>
      <c r="E14" s="30"/>
      <c r="F14" s="31"/>
      <c r="G14" s="31"/>
      <c r="H14" s="31"/>
      <c r="I14" s="32">
        <v>42205</v>
      </c>
      <c r="J14" s="25"/>
      <c r="N14" s="11"/>
      <c r="O14" s="11"/>
      <c r="P14" s="11"/>
      <c r="Q14" s="11"/>
      <c r="R14" s="11"/>
      <c r="S14" s="11"/>
    </row>
    <row r="15" spans="1:21" ht="29.25" customHeight="1" x14ac:dyDescent="0.6">
      <c r="A15" s="10"/>
      <c r="B15" s="25">
        <v>1</v>
      </c>
      <c r="C15" s="26" t="s">
        <v>15</v>
      </c>
      <c r="D15" s="21" t="s">
        <v>49</v>
      </c>
      <c r="E15" s="30"/>
      <c r="F15" s="31"/>
      <c r="G15" s="31"/>
      <c r="H15" s="31"/>
      <c r="I15" s="32">
        <v>42205</v>
      </c>
      <c r="J15" s="25"/>
      <c r="N15" s="11"/>
      <c r="O15" s="11"/>
      <c r="P15" s="11"/>
      <c r="Q15" s="11"/>
      <c r="R15" s="11"/>
      <c r="S15" s="11"/>
    </row>
    <row r="16" spans="1:21" ht="29.25" customHeight="1" x14ac:dyDescent="0.6">
      <c r="A16" s="10"/>
      <c r="B16" s="45">
        <v>1</v>
      </c>
      <c r="C16" s="47" t="s">
        <v>38</v>
      </c>
      <c r="D16" s="21" t="s">
        <v>49</v>
      </c>
      <c r="E16" s="50"/>
      <c r="F16" s="50"/>
      <c r="G16" s="51"/>
      <c r="H16" s="52"/>
      <c r="I16" s="53">
        <v>42205</v>
      </c>
      <c r="J16" s="25"/>
    </row>
    <row r="17" spans="1:10" ht="29.25" customHeight="1" x14ac:dyDescent="0.6">
      <c r="A17" s="10"/>
      <c r="B17" s="45">
        <v>1</v>
      </c>
      <c r="C17" s="47" t="s">
        <v>41</v>
      </c>
      <c r="D17" s="21" t="s">
        <v>49</v>
      </c>
      <c r="E17" s="50"/>
      <c r="F17" s="50"/>
      <c r="G17" s="51"/>
      <c r="H17" s="52"/>
      <c r="I17" s="53">
        <v>42205</v>
      </c>
      <c r="J17" s="25"/>
    </row>
    <row r="18" spans="1:10" ht="29.25" customHeight="1" x14ac:dyDescent="0.6">
      <c r="B18" s="45">
        <v>1</v>
      </c>
      <c r="C18" s="47" t="s">
        <v>50</v>
      </c>
      <c r="D18" s="21" t="s">
        <v>49</v>
      </c>
      <c r="E18" s="50"/>
      <c r="F18" s="50"/>
      <c r="G18" s="51"/>
      <c r="H18" s="52"/>
      <c r="I18" s="53">
        <v>42205</v>
      </c>
      <c r="J18" s="25"/>
    </row>
    <row r="19" spans="1:10" ht="29.25" customHeight="1" x14ac:dyDescent="0.6">
      <c r="B19" s="34"/>
      <c r="C19" s="21" t="s">
        <v>44</v>
      </c>
      <c r="D19" s="21" t="s">
        <v>49</v>
      </c>
      <c r="E19" s="30"/>
      <c r="F19" s="30"/>
      <c r="G19" s="35"/>
      <c r="H19" s="31"/>
      <c r="I19" s="32">
        <v>42206</v>
      </c>
      <c r="J19" s="25"/>
    </row>
    <row r="20" spans="1:10" ht="29.25" customHeight="1" x14ac:dyDescent="0.6">
      <c r="B20" s="34"/>
      <c r="C20" s="21" t="s">
        <v>19</v>
      </c>
      <c r="D20" s="21"/>
      <c r="E20" s="30"/>
      <c r="F20" s="30"/>
      <c r="G20" s="35"/>
      <c r="H20" s="31"/>
      <c r="I20" s="32">
        <v>42206</v>
      </c>
      <c r="J20" s="25"/>
    </row>
    <row r="21" spans="1:10" ht="29.25" customHeight="1" x14ac:dyDescent="0.6">
      <c r="B21" s="34"/>
      <c r="C21" s="21" t="s">
        <v>20</v>
      </c>
      <c r="D21" s="21"/>
      <c r="E21" s="30"/>
      <c r="F21" s="30"/>
      <c r="G21" s="35"/>
      <c r="H21" s="31"/>
      <c r="I21" s="32">
        <v>42206</v>
      </c>
      <c r="J21" s="25"/>
    </row>
    <row r="22" spans="1:10" ht="29.25" customHeight="1" x14ac:dyDescent="0.6">
      <c r="B22" s="25"/>
      <c r="C22" s="33" t="s">
        <v>33</v>
      </c>
      <c r="D22" s="33"/>
      <c r="E22" s="30"/>
      <c r="F22" s="31"/>
      <c r="G22" s="31"/>
      <c r="H22" s="31"/>
      <c r="I22" s="32">
        <f>I19</f>
        <v>42206</v>
      </c>
      <c r="J22" s="25"/>
    </row>
    <row r="23" spans="1:10" ht="29.25" customHeight="1" x14ac:dyDescent="0.6">
      <c r="B23" s="34"/>
      <c r="C23" s="21" t="s">
        <v>21</v>
      </c>
      <c r="D23" s="21"/>
      <c r="E23" s="30"/>
      <c r="F23" s="30"/>
      <c r="G23" s="35"/>
      <c r="H23" s="31"/>
      <c r="I23" s="32">
        <v>42207</v>
      </c>
      <c r="J23" s="25"/>
    </row>
    <row r="24" spans="1:10" ht="29.25" customHeight="1" x14ac:dyDescent="0.6">
      <c r="B24" s="34"/>
      <c r="C24" s="21" t="s">
        <v>22</v>
      </c>
      <c r="D24" s="21"/>
      <c r="E24" s="30"/>
      <c r="F24" s="30"/>
      <c r="G24" s="35"/>
      <c r="H24" s="31"/>
      <c r="I24" s="32">
        <v>42207</v>
      </c>
      <c r="J24" s="25"/>
    </row>
    <row r="25" spans="1:10" ht="29.25" customHeight="1" x14ac:dyDescent="0.6">
      <c r="B25" s="34"/>
      <c r="C25" s="21" t="s">
        <v>23</v>
      </c>
      <c r="D25" s="21"/>
      <c r="E25" s="30"/>
      <c r="F25" s="30"/>
      <c r="G25" s="35"/>
      <c r="H25" s="31"/>
      <c r="I25" s="32">
        <v>42207</v>
      </c>
      <c r="J25" s="25"/>
    </row>
    <row r="26" spans="1:10" ht="29.25" customHeight="1" x14ac:dyDescent="0.6">
      <c r="B26" s="25"/>
      <c r="C26" s="33" t="s">
        <v>34</v>
      </c>
      <c r="D26" s="33"/>
      <c r="E26" s="30"/>
      <c r="F26" s="31"/>
      <c r="G26" s="31"/>
      <c r="H26" s="31"/>
      <c r="I26" s="32">
        <f>I23</f>
        <v>42207</v>
      </c>
      <c r="J26" s="25"/>
    </row>
    <row r="27" spans="1:10" ht="29.25" customHeight="1" x14ac:dyDescent="0.6">
      <c r="B27" s="45"/>
      <c r="C27" s="47" t="s">
        <v>35</v>
      </c>
      <c r="D27" s="47"/>
      <c r="E27" s="50"/>
      <c r="F27" s="50"/>
      <c r="G27" s="51"/>
      <c r="H27" s="52"/>
      <c r="I27" s="53">
        <f>I24</f>
        <v>42207</v>
      </c>
      <c r="J27" s="25"/>
    </row>
    <row r="28" spans="1:10" ht="29.25" customHeight="1" x14ac:dyDescent="0.6">
      <c r="B28" s="34"/>
      <c r="C28" s="21" t="s">
        <v>24</v>
      </c>
      <c r="D28" s="21"/>
      <c r="E28" s="30"/>
      <c r="F28" s="30"/>
      <c r="G28" s="35"/>
      <c r="H28" s="31"/>
      <c r="I28" s="27">
        <v>42208</v>
      </c>
      <c r="J28" s="25"/>
    </row>
    <row r="29" spans="1:10" ht="29.25" customHeight="1" x14ac:dyDescent="0.6">
      <c r="B29" s="34"/>
      <c r="C29" s="21" t="s">
        <v>25</v>
      </c>
      <c r="D29" s="21"/>
      <c r="E29" s="30"/>
      <c r="F29" s="30"/>
      <c r="G29" s="35"/>
      <c r="H29" s="31"/>
      <c r="I29" s="27">
        <v>42209</v>
      </c>
      <c r="J29" s="25"/>
    </row>
    <row r="30" spans="1:10" ht="29.25" customHeight="1" x14ac:dyDescent="0.6">
      <c r="B30" s="34"/>
      <c r="C30" s="21" t="s">
        <v>26</v>
      </c>
      <c r="D30" s="21"/>
      <c r="E30" s="30"/>
      <c r="F30" s="30"/>
      <c r="G30" s="35"/>
      <c r="H30" s="31"/>
      <c r="I30" s="27">
        <v>42210</v>
      </c>
      <c r="J30" s="25"/>
    </row>
    <row r="31" spans="1:10" ht="29.25" customHeight="1" x14ac:dyDescent="0.6">
      <c r="B31" s="45"/>
      <c r="C31" s="47" t="s">
        <v>36</v>
      </c>
      <c r="D31" s="47"/>
      <c r="E31" s="50"/>
      <c r="F31" s="50"/>
      <c r="G31" s="51"/>
      <c r="H31" s="52"/>
      <c r="I31" s="53">
        <f>I30</f>
        <v>42210</v>
      </c>
      <c r="J31" s="25"/>
    </row>
    <row r="32" spans="1:10" ht="29.25" customHeight="1" x14ac:dyDescent="0.6">
      <c r="B32" s="34"/>
      <c r="C32" s="21" t="s">
        <v>27</v>
      </c>
      <c r="D32" s="21"/>
      <c r="E32" s="30"/>
      <c r="F32" s="30"/>
      <c r="G32" s="35"/>
      <c r="H32" s="31"/>
      <c r="I32" s="27">
        <v>42211</v>
      </c>
      <c r="J32" s="25"/>
    </row>
    <row r="33" spans="2:10" ht="29.25" customHeight="1" x14ac:dyDescent="0.6">
      <c r="B33" s="34"/>
      <c r="C33" s="21" t="s">
        <v>28</v>
      </c>
      <c r="D33" s="21"/>
      <c r="E33" s="30"/>
      <c r="F33" s="30"/>
      <c r="G33" s="35"/>
      <c r="H33" s="31"/>
      <c r="I33" s="27">
        <v>42212</v>
      </c>
      <c r="J33" s="25"/>
    </row>
    <row r="34" spans="2:10" ht="29.25" customHeight="1" x14ac:dyDescent="0.6">
      <c r="B34" s="34"/>
      <c r="C34" s="21" t="s">
        <v>29</v>
      </c>
      <c r="D34" s="21"/>
      <c r="E34" s="30"/>
      <c r="F34" s="30"/>
      <c r="G34" s="35"/>
      <c r="H34" s="31"/>
      <c r="I34" s="27">
        <v>42213</v>
      </c>
      <c r="J34" s="25"/>
    </row>
    <row r="35" spans="2:10" ht="29.25" customHeight="1" x14ac:dyDescent="0.6">
      <c r="B35" s="46"/>
      <c r="C35" s="48" t="s">
        <v>30</v>
      </c>
      <c r="D35" s="48"/>
      <c r="E35" s="38"/>
      <c r="F35" s="38"/>
      <c r="G35" s="39"/>
      <c r="H35" s="40"/>
      <c r="I35" s="54">
        <v>42214</v>
      </c>
      <c r="J35" s="25"/>
    </row>
    <row r="36" spans="2:10" ht="29.25" customHeight="1" x14ac:dyDescent="0.6">
      <c r="B36" s="46"/>
      <c r="C36" s="48" t="s">
        <v>31</v>
      </c>
      <c r="D36" s="48"/>
      <c r="E36" s="38"/>
      <c r="F36" s="38"/>
      <c r="G36" s="39"/>
      <c r="H36" s="40"/>
      <c r="I36" s="54">
        <v>42215</v>
      </c>
      <c r="J36" s="25"/>
    </row>
    <row r="37" spans="2:10" ht="29.25" customHeight="1" x14ac:dyDescent="0.6">
      <c r="B37" s="46"/>
      <c r="C37" s="48" t="s">
        <v>32</v>
      </c>
      <c r="D37" s="48"/>
      <c r="E37" s="38"/>
      <c r="F37" s="38"/>
      <c r="G37" s="39"/>
      <c r="H37" s="40"/>
      <c r="I37" s="54">
        <v>42216</v>
      </c>
      <c r="J37" s="25"/>
    </row>
    <row r="38" spans="2:10" ht="29.25" customHeight="1" x14ac:dyDescent="0.6">
      <c r="B38" s="42"/>
      <c r="C38" s="49" t="s">
        <v>16</v>
      </c>
      <c r="D38" s="49"/>
      <c r="E38" s="38"/>
      <c r="F38" s="40"/>
      <c r="G38" s="40"/>
      <c r="H38" s="40"/>
      <c r="I38" s="55">
        <v>42217</v>
      </c>
      <c r="J38" s="25"/>
    </row>
    <row r="39" spans="2:10" ht="29.25" customHeight="1" x14ac:dyDescent="0.6">
      <c r="B39" s="42"/>
      <c r="C39" s="37" t="s">
        <v>17</v>
      </c>
      <c r="D39" s="37"/>
      <c r="E39" s="38"/>
      <c r="F39" s="40"/>
      <c r="G39" s="40"/>
      <c r="H39" s="40"/>
      <c r="I39" s="55">
        <v>42217</v>
      </c>
      <c r="J39" s="25"/>
    </row>
    <row r="40" spans="2:10" ht="29.25" customHeight="1" x14ac:dyDescent="0.6">
      <c r="B40" s="36"/>
      <c r="C40" s="37" t="s">
        <v>39</v>
      </c>
      <c r="D40" s="37"/>
      <c r="E40" s="38"/>
      <c r="F40" s="38"/>
      <c r="G40" s="39"/>
      <c r="H40" s="40"/>
      <c r="I40" s="41">
        <v>42217</v>
      </c>
      <c r="J40" s="25"/>
    </row>
    <row r="41" spans="2:10" ht="29.25" customHeight="1" x14ac:dyDescent="0.6">
      <c r="B41" s="36"/>
      <c r="C41" s="37" t="s">
        <v>40</v>
      </c>
      <c r="D41" s="37"/>
      <c r="E41" s="38"/>
      <c r="F41" s="38"/>
      <c r="G41" s="39"/>
      <c r="H41" s="40"/>
      <c r="I41" s="41">
        <v>42217</v>
      </c>
      <c r="J41" s="25"/>
    </row>
    <row r="42" spans="2:10" ht="29.25" customHeight="1" x14ac:dyDescent="0.6">
      <c r="B42" s="36"/>
      <c r="C42" s="37" t="s">
        <v>42</v>
      </c>
      <c r="D42" s="37"/>
      <c r="E42" s="38"/>
      <c r="F42" s="38"/>
      <c r="G42" s="39"/>
      <c r="H42" s="40"/>
      <c r="I42" s="41">
        <v>42217</v>
      </c>
      <c r="J42" s="25"/>
    </row>
  </sheetData>
  <mergeCells count="2">
    <mergeCell ref="B2:C2"/>
    <mergeCell ref="B1:C1"/>
  </mergeCells>
  <phoneticPr fontId="7" type="noConversion"/>
  <conditionalFormatting sqref="C6:J9 J10:J13 C10:I42">
    <cfRule type="expression" dxfId="7" priority="76" stopIfTrue="1">
      <formula>$B6=1</formula>
    </cfRule>
    <cfRule type="expression" dxfId="6" priority="77">
      <formula>$I6=TODAY()</formula>
    </cfRule>
    <cfRule type="expression" dxfId="5" priority="78">
      <formula>AND($B6&lt;&gt;1,$I6&lt;TODAY())</formula>
    </cfRule>
  </conditionalFormatting>
  <conditionalFormatting sqref="C6:D42">
    <cfRule type="expression" dxfId="4" priority="95" stopIfTrue="1">
      <formula>I6=""</formula>
    </cfRule>
    <cfRule type="expression" dxfId="3" priority="96">
      <formula>AND(B6&lt;&gt;1,I6=TODAY())</formula>
    </cfRule>
  </conditionalFormatting>
  <conditionalFormatting sqref="E6:H42">
    <cfRule type="expression" dxfId="2" priority="97" stopIfTrue="1">
      <formula>J6=""</formula>
    </cfRule>
    <cfRule type="expression" dxfId="1" priority="98">
      <formula>AND(C6&lt;&gt;1,J6=TODAY())</formula>
    </cfRule>
  </conditionalFormatting>
  <dataValidations disablePrompts="1" count="1">
    <dataValidation type="list" allowBlank="1" showInputMessage="1" showErrorMessage="1" sqref="J6:J42">
      <formula1>"高,中,低"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7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B6:B9</xm:sqref>
        </x14:conditionalFormatting>
        <x14:conditionalFormatting xmlns:xm="http://schemas.microsoft.com/office/excel/2006/main">
          <x14:cfRule type="iconSet" priority="88" id="{2C6AF5E9-7B1C-4E63-A181-929BBAB49E2E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B10:B42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1856473-CCE6-473F-91AD-70568D3A12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待办事项列表</vt:lpstr>
      <vt:lpstr>DueToday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刘朝晖</dc:creator>
  <cp:keywords/>
  <cp:lastModifiedBy>刘朝晖</cp:lastModifiedBy>
  <dcterms:created xsi:type="dcterms:W3CDTF">2015-07-17T01:49:55Z</dcterms:created>
  <dcterms:modified xsi:type="dcterms:W3CDTF">2015-07-20T10:01:09Z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